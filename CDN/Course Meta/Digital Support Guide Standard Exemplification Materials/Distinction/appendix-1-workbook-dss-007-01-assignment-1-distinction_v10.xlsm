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123" codeName="{00000000-0000-0000-0000-000000000000}"/>
  <workbookPr codeName="ThisWorkbook" defaultThemeVersion="166925"/>
  <mc:AlternateContent xmlns:mc="http://schemas.openxmlformats.org/markup-compatibility/2006">
    <mc:Choice Requires="x15">
      <x15ac:absPath xmlns:x15ac="http://schemas.microsoft.com/office/spreadsheetml/2010/11/ac" url="C:\Users\NCFEUser\Desktop\GSEMs feedback Jan 2021\DS Feb\"/>
    </mc:Choice>
  </mc:AlternateContent>
  <xr:revisionPtr revIDLastSave="65" documentId="11_F214AA0D7AC8A0C25693DA3F179C37DE1E2FFCBA" xr6:coauthVersionLast="47" xr6:coauthVersionMax="47" xr10:uidLastSave="{4270A53D-121A-4BAA-9EA0-C09289AA87C4}"/>
  <bookViews>
    <workbookView xWindow="0" yWindow="0" windowWidth="16815" windowHeight="7095" tabRatio="798" firstSheet="3" activeTab="3" xr2:uid="{00000000-000D-0000-FFFF-FFFF00000000}"/>
  </bookViews>
  <sheets>
    <sheet name="INSTRUCTIONS" sheetId="7" r:id="rId1"/>
    <sheet name="1 - H&amp;S Risk Assessment" sheetId="1" r:id="rId2"/>
    <sheet name="2 - Inventory Log" sheetId="2" r:id="rId3"/>
    <sheet name="3 - Security Risk Assessment" sheetId="3" r:id="rId4"/>
    <sheet name="4 - Software Install Log" sheetId="4" r:id="rId5"/>
    <sheet name="Lookup" sheetId="5" state="hidden" r:id="rId6"/>
  </sheets>
  <definedNames>
    <definedName name="Chance">#REF!</definedName>
    <definedName name="Grouping">#REF!</definedName>
    <definedName name="Impact">#REF!</definedName>
    <definedName name="IssueImpact">#REF!</definedName>
    <definedName name="Lookup1">OFFSET(Lookup!$B$3,0,0,COUNTA(Lookup!$B$3:$B$22),1)</definedName>
    <definedName name="Lookup10">OFFSET(Lookup!$K$3,0,0,COUNTA(Lookup!$K$3:$K$22),1)</definedName>
    <definedName name="Lookup11">OFFSET(Lookup!$L$3,0,0,COUNTA(Lookup!$L$3:$L$22),1)</definedName>
    <definedName name="Lookup12">OFFSET(Lookup!$M$3,0,0,COUNTA(Lookup!$M$3:$M$22),1)</definedName>
    <definedName name="Lookup13">OFFSET(Lookup!$N$3,0,0,COUNTA(Lookup!$N$3:$N$22),1)</definedName>
    <definedName name="Lookup14">OFFSET(Lookup!$O$3,0,0,COUNTA(Lookup!$O$3:$O$22),1)</definedName>
    <definedName name="Lookup15">OFFSET(Lookup!$P$3,0,0,COUNTA(Lookup!$P$3:$P$22),1)</definedName>
    <definedName name="Lookup16">OFFSET(Lookup!$Q$3,0,0,COUNTA(Lookup!$Q$3:$Q$22),1)</definedName>
    <definedName name="Lookup17">OFFSET(Lookup!$R$3,0,0,COUNTA(Lookup!$R$3:$R$22),1)</definedName>
    <definedName name="Lookup18">OFFSET(Lookup!$S$3,0,0,COUNTA(Lookup!$S$3:$S$22),1)</definedName>
    <definedName name="Lookup19">OFFSET(Lookup!$T$3,0,0,COUNTA(Lookup!$T$3:$T$22),1)</definedName>
    <definedName name="Lookup2">OFFSET(Lookup!$C$3,0,0,COUNTA(Lookup!$C$3:$C$22),1)</definedName>
    <definedName name="Lookup20">OFFSET(Lookup!$U$3,0,0,COUNTA(Lookup!$U$3:$U$22),1)</definedName>
    <definedName name="Lookup3">OFFSET(Lookup!$D$3,0,0,COUNTA(Lookup!$D$3:$D$22),1)</definedName>
    <definedName name="Lookup4">OFFSET(Lookup!$E$3,0,0,COUNTA(Lookup!$E$3:$E$22),1)</definedName>
    <definedName name="Lookup5">OFFSET(Lookup!$F$3,0,0,COUNTA(Lookup!$F$3:$F$22),1)</definedName>
    <definedName name="Lookup6">OFFSET(Lookup!$G$3,0,0,COUNTA(Lookup!$G$3:$G$22),1)</definedName>
    <definedName name="Lookup7">OFFSET(Lookup!$H$3,0,0,COUNTA(Lookup!$H$3:$H$22),1)</definedName>
    <definedName name="Lookup8">OFFSET(Lookup!$I$3,0,0,COUNTA(Lookup!$I$3:$I$22),1)</definedName>
    <definedName name="Lookup9">OFFSET(Lookup!$J$3,0,0,COUNTA(Lookup!$J$3:$J$22),1)</definedName>
    <definedName name="Proximity">#REF!</definedName>
    <definedName name="Status">#REF!</definedName>
    <definedName name="Text1" localSheetId="1">'1 - H&amp;S Risk Assessment'!$A$2</definedName>
    <definedName name="Text10" localSheetId="1">'1 - H&amp;S Risk Assessment'!$F$5</definedName>
    <definedName name="Text11" localSheetId="1">'1 - H&amp;S Risk Assessment'!$A$12</definedName>
    <definedName name="Text12" localSheetId="1">'1 - H&amp;S Risk Assessment'!$B$6</definedName>
    <definedName name="Text13" localSheetId="1">'1 - H&amp;S Risk Assessment'!$C$6</definedName>
    <definedName name="Text14" localSheetId="1">'1 - H&amp;S Risk Assessment'!$D$6</definedName>
    <definedName name="Text15" localSheetId="1">'1 - H&amp;S Risk Assessment'!$E$6</definedName>
    <definedName name="Text16" localSheetId="1">'1 - H&amp;S Risk Assessment'!$F$6</definedName>
    <definedName name="Text17" localSheetId="1">'1 - H&amp;S Risk Assessment'!$A$13</definedName>
    <definedName name="Text18" localSheetId="1">'1 - H&amp;S Risk Assessment'!$A$14</definedName>
    <definedName name="Text19" localSheetId="1">'1 - H&amp;S Risk Assessment'!$B$7</definedName>
    <definedName name="Text2" localSheetId="1">'1 - H&amp;S Risk Assessment'!$A$3</definedName>
    <definedName name="Text20" localSheetId="1">'1 - H&amp;S Risk Assessment'!$B$8</definedName>
    <definedName name="Text21" localSheetId="1">'1 - H&amp;S Risk Assessment'!$C$7</definedName>
    <definedName name="Text22" localSheetId="1">'1 - H&amp;S Risk Assessment'!$C$8</definedName>
    <definedName name="Text23" localSheetId="1">'1 - H&amp;S Risk Assessment'!$D$7</definedName>
    <definedName name="Text24" localSheetId="1">'1 - H&amp;S Risk Assessment'!$D$8</definedName>
    <definedName name="Text25" localSheetId="1">'1 - H&amp;S Risk Assessment'!$E$7</definedName>
    <definedName name="Text26" localSheetId="1">'1 - H&amp;S Risk Assessment'!$E$8</definedName>
    <definedName name="Text27" localSheetId="1">'1 - H&amp;S Risk Assessment'!$F$7</definedName>
    <definedName name="Text28" localSheetId="1">'1 - H&amp;S Risk Assessment'!$F$8</definedName>
    <definedName name="Text29" localSheetId="1">'1 - H&amp;S Risk Assessment'!$G$5</definedName>
    <definedName name="Text3" localSheetId="1">'1 - H&amp;S Risk Assessment'!$C$2</definedName>
    <definedName name="Text30" localSheetId="1">'1 - H&amp;S Risk Assessment'!$G$6</definedName>
    <definedName name="Text31" localSheetId="1">'1 - H&amp;S Risk Assessment'!$G$7</definedName>
    <definedName name="Text32" localSheetId="1">'1 - H&amp;S Risk Assessment'!$G$8</definedName>
    <definedName name="Text33" localSheetId="1">'1 - H&amp;S Risk Assessment'!$A$15</definedName>
    <definedName name="Text34" localSheetId="1">'1 - H&amp;S Risk Assessment'!$A$10</definedName>
    <definedName name="Text35" localSheetId="1">'1 - H&amp;S Risk Assessment'!$B$9</definedName>
    <definedName name="Text36" localSheetId="1">'1 - H&amp;S Risk Assessment'!$B$10</definedName>
    <definedName name="Text37" localSheetId="1">'1 - H&amp;S Risk Assessment'!$C$9</definedName>
    <definedName name="Text38" localSheetId="1">'1 - H&amp;S Risk Assessment'!$C$10</definedName>
    <definedName name="Text39" localSheetId="1">'1 - H&amp;S Risk Assessment'!$D$9</definedName>
    <definedName name="Text4" localSheetId="1">'1 - H&amp;S Risk Assessment'!$C$3</definedName>
    <definedName name="Text40" localSheetId="1">'1 - H&amp;S Risk Assessment'!$D$10</definedName>
    <definedName name="Text41" localSheetId="1">'1 - H&amp;S Risk Assessment'!$E$9</definedName>
    <definedName name="Text42" localSheetId="1">'1 - H&amp;S Risk Assessment'!$E$10</definedName>
    <definedName name="Text43" localSheetId="1">'1 - H&amp;S Risk Assessment'!$F$9</definedName>
    <definedName name="Text44" localSheetId="1">'1 - H&amp;S Risk Assessment'!$F$10</definedName>
    <definedName name="Text45" localSheetId="1">'1 - H&amp;S Risk Assessment'!$G$9</definedName>
    <definedName name="Text46" localSheetId="1">'1 - H&amp;S Risk Assessment'!$G$10</definedName>
    <definedName name="Text5" localSheetId="1">'1 - H&amp;S Risk Assessment'!$A$5</definedName>
    <definedName name="Text6" localSheetId="1">'1 - H&amp;S Risk Assessment'!$B$5</definedName>
    <definedName name="Text7" localSheetId="1">'1 - H&amp;S Risk Assessment'!$C$5</definedName>
    <definedName name="Text8" localSheetId="1">'1 - H&amp;S Risk Assessment'!$D$5</definedName>
    <definedName name="Text9" localSheetId="1">'1 - H&amp;S Risk Assessment'!$E$5</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3" i="3" l="1"/>
  <c r="F102" i="2"/>
  <c r="G4" i="3" l="1"/>
  <c r="G5" i="3"/>
  <c r="G6" i="3"/>
  <c r="G7" i="3"/>
  <c r="G8" i="3"/>
  <c r="G9" i="3"/>
  <c r="G10" i="3"/>
  <c r="G11" i="3"/>
  <c r="G12" i="3"/>
  <c r="G13" i="3"/>
  <c r="G14" i="3"/>
  <c r="G15" i="3"/>
  <c r="G16" i="3"/>
  <c r="G17" i="3"/>
  <c r="G18" i="3"/>
  <c r="G19" i="3"/>
  <c r="G20" i="3"/>
  <c r="G21" i="3"/>
  <c r="G22" i="3"/>
  <c r="G23" i="3"/>
  <c r="G24" i="3"/>
  <c r="G25" i="3"/>
  <c r="G26" i="3"/>
  <c r="G27" i="3"/>
  <c r="G28" i="3"/>
  <c r="G29" i="3"/>
  <c r="G30" i="3"/>
  <c r="G31" i="3"/>
  <c r="G32" i="3"/>
  <c r="G33" i="3"/>
  <c r="G34" i="3"/>
  <c r="G35" i="3"/>
  <c r="G36" i="3"/>
  <c r="G37" i="3"/>
  <c r="G38" i="3"/>
  <c r="G39" i="3"/>
  <c r="G40" i="3"/>
  <c r="G41" i="3"/>
  <c r="G42" i="3"/>
  <c r="G43" i="3"/>
  <c r="G44" i="3"/>
  <c r="G45" i="3"/>
  <c r="G46" i="3"/>
  <c r="G47" i="3"/>
  <c r="G48" i="3"/>
  <c r="G49" i="3"/>
  <c r="G50" i="3"/>
  <c r="G51" i="3"/>
  <c r="G52" i="3"/>
  <c r="G53" i="3"/>
  <c r="G54" i="3"/>
  <c r="G55" i="3"/>
  <c r="G56" i="3"/>
  <c r="G57" i="3"/>
  <c r="G58" i="3"/>
  <c r="G59" i="3"/>
  <c r="G60" i="3"/>
  <c r="G61" i="3"/>
  <c r="G62" i="3"/>
  <c r="G63" i="3"/>
  <c r="G64" i="3"/>
  <c r="G65" i="3"/>
  <c r="G66" i="3"/>
  <c r="G67" i="3"/>
  <c r="G68" i="3"/>
  <c r="G69" i="3"/>
  <c r="G70" i="3"/>
  <c r="G71" i="3"/>
  <c r="G72" i="3"/>
  <c r="G73" i="3"/>
  <c r="G74" i="3"/>
  <c r="G75" i="3"/>
  <c r="G76" i="3"/>
  <c r="G77" i="3"/>
  <c r="G78" i="3"/>
  <c r="G79" i="3"/>
  <c r="G80" i="3"/>
  <c r="G81" i="3"/>
  <c r="G82" i="3"/>
  <c r="G83" i="3"/>
  <c r="G84" i="3"/>
  <c r="G85" i="3"/>
  <c r="G86" i="3"/>
  <c r="G87" i="3"/>
  <c r="G88" i="3"/>
  <c r="G89" i="3"/>
  <c r="G90" i="3"/>
  <c r="G91" i="3"/>
  <c r="G92" i="3"/>
  <c r="G93" i="3"/>
  <c r="G94" i="3"/>
  <c r="G95" i="3"/>
  <c r="G96" i="3"/>
  <c r="G97" i="3"/>
  <c r="G98" i="3"/>
  <c r="G99" i="3"/>
  <c r="G100" i="3"/>
  <c r="G101" i="3"/>
  <c r="G102" i="3"/>
  <c r="G103" i="3"/>
  <c r="G104" i="3"/>
  <c r="G105" i="3"/>
  <c r="G106" i="3"/>
  <c r="G107" i="3"/>
  <c r="G108" i="3"/>
  <c r="G109" i="3"/>
  <c r="G110" i="3"/>
  <c r="G111" i="3"/>
  <c r="G112" i="3"/>
  <c r="G113" i="3"/>
  <c r="G114" i="3"/>
  <c r="G115" i="3"/>
  <c r="G116" i="3"/>
  <c r="G117" i="3"/>
  <c r="G118" i="3"/>
  <c r="G119" i="3"/>
  <c r="G120" i="3"/>
  <c r="G121" i="3"/>
  <c r="G122" i="3"/>
  <c r="G123" i="3"/>
  <c r="G124" i="3"/>
  <c r="G125" i="3"/>
  <c r="G126" i="3"/>
  <c r="G127" i="3"/>
  <c r="G128" i="3"/>
  <c r="G129" i="3"/>
  <c r="G130" i="3"/>
  <c r="G131" i="3"/>
  <c r="G132" i="3"/>
  <c r="G133" i="3"/>
  <c r="G134" i="3"/>
  <c r="G135" i="3"/>
  <c r="G136" i="3"/>
  <c r="G137" i="3"/>
  <c r="G138" i="3"/>
  <c r="G139" i="3"/>
  <c r="G140" i="3"/>
  <c r="G141" i="3"/>
  <c r="G142" i="3"/>
  <c r="G143" i="3"/>
  <c r="G144" i="3"/>
  <c r="G145" i="3"/>
  <c r="G146" i="3"/>
  <c r="G147" i="3"/>
  <c r="G148" i="3"/>
  <c r="G149" i="3"/>
  <c r="G150" i="3"/>
  <c r="G151" i="3"/>
  <c r="G152" i="3"/>
  <c r="G153" i="3"/>
  <c r="G154" i="3"/>
  <c r="G155" i="3"/>
  <c r="G156" i="3"/>
  <c r="G157" i="3"/>
  <c r="G158" i="3"/>
  <c r="G159" i="3"/>
  <c r="G160" i="3"/>
  <c r="G161" i="3"/>
  <c r="G162" i="3"/>
  <c r="G163" i="3"/>
  <c r="G164" i="3"/>
  <c r="G165" i="3"/>
  <c r="G166" i="3"/>
  <c r="G167" i="3"/>
  <c r="G168" i="3"/>
  <c r="G169" i="3"/>
  <c r="G170" i="3"/>
  <c r="G171" i="3"/>
  <c r="G172" i="3"/>
  <c r="G173" i="3"/>
  <c r="G174" i="3"/>
  <c r="G175" i="3"/>
  <c r="G176" i="3"/>
  <c r="G177" i="3"/>
  <c r="G178" i="3"/>
  <c r="G179" i="3"/>
  <c r="G180" i="3"/>
  <c r="G181" i="3"/>
  <c r="G182" i="3"/>
  <c r="G183" i="3"/>
  <c r="G184" i="3"/>
  <c r="G185" i="3"/>
  <c r="G186" i="3"/>
  <c r="G187" i="3"/>
  <c r="G188" i="3"/>
  <c r="G189" i="3"/>
  <c r="G190" i="3"/>
  <c r="G191" i="3"/>
  <c r="G192" i="3"/>
  <c r="G193" i="3"/>
  <c r="G194" i="3"/>
  <c r="G195" i="3"/>
  <c r="G196" i="3"/>
  <c r="G197" i="3"/>
  <c r="G198" i="3"/>
  <c r="G199" i="3"/>
  <c r="G200" i="3"/>
  <c r="G201" i="3"/>
  <c r="F3" i="2" l="1"/>
  <c r="F4" i="2"/>
  <c r="F5" i="2"/>
  <c r="F6" i="2"/>
  <c r="F7" i="2"/>
  <c r="F8" i="2"/>
  <c r="F9" i="2"/>
  <c r="F10" i="2"/>
  <c r="F11" i="2"/>
  <c r="F12" i="2"/>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63" i="2"/>
  <c r="F64" i="2"/>
  <c r="F65" i="2"/>
  <c r="F66" i="2"/>
  <c r="F67" i="2"/>
  <c r="F68" i="2"/>
  <c r="F69" i="2"/>
  <c r="F70" i="2"/>
  <c r="F71" i="2"/>
  <c r="F72" i="2"/>
  <c r="F73" i="2"/>
  <c r="F74" i="2"/>
  <c r="F75" i="2"/>
  <c r="F76" i="2"/>
  <c r="F77" i="2"/>
  <c r="F78" i="2"/>
  <c r="F79" i="2"/>
  <c r="F80" i="2"/>
  <c r="F81" i="2"/>
  <c r="F82" i="2"/>
  <c r="F83" i="2"/>
  <c r="F84" i="2"/>
  <c r="F85" i="2"/>
  <c r="F86" i="2"/>
  <c r="F87" i="2"/>
  <c r="F88" i="2"/>
  <c r="F89" i="2"/>
  <c r="F90" i="2"/>
  <c r="F91" i="2"/>
  <c r="F92" i="2"/>
  <c r="F93" i="2"/>
  <c r="F94" i="2"/>
  <c r="F95" i="2"/>
  <c r="F96" i="2"/>
  <c r="F97" i="2"/>
  <c r="F98" i="2"/>
  <c r="F99" i="2"/>
  <c r="F100" i="2"/>
  <c r="F101" i="2"/>
</calcChain>
</file>

<file path=xl/sharedStrings.xml><?xml version="1.0" encoding="utf-8"?>
<sst xmlns="http://schemas.openxmlformats.org/spreadsheetml/2006/main" count="947" uniqueCount="499">
  <si>
    <t xml:space="preserve">Workbook ID: </t>
  </si>
  <si>
    <t>DSS-007-01</t>
  </si>
  <si>
    <t xml:space="preserve">Student First Name: </t>
  </si>
  <si>
    <t xml:space="preserve">Student Surname: </t>
  </si>
  <si>
    <t xml:space="preserve">Student ID: </t>
  </si>
  <si>
    <t>H &amp; S Risk Assessment</t>
  </si>
  <si>
    <t>Company name:      </t>
  </si>
  <si>
    <t>Assessment carried out by:      </t>
  </si>
  <si>
    <t>Dan Troke</t>
  </si>
  <si>
    <t>Date of next review:      </t>
  </si>
  <si>
    <t>Date assessment was carried out:      </t>
  </si>
  <si>
    <t>11th October 2020</t>
  </si>
  <si>
    <t>What are the hazards?</t>
  </si>
  <si>
    <t>Who might be harmed and how?</t>
  </si>
  <si>
    <t>What are you already doing to control the risks?</t>
  </si>
  <si>
    <t>What further action do you need to take to control the risks?</t>
  </si>
  <si>
    <t>Who needs to carry out the action?</t>
  </si>
  <si>
    <t>When is the action needed by?</t>
  </si>
  <si>
    <t>Done</t>
  </si>
  <si>
    <t>Lone Working - Out of hours work installing physical</t>
  </si>
  <si>
    <t>Slips/trips/falls with heavy equipment whilst alone</t>
  </si>
  <si>
    <t>No controls in place</t>
  </si>
  <si>
    <t>Introduction of lone working policy/regular check-ins with line manager to confirm safety.  'Home Safe' call at end of work to confirm all is well.</t>
  </si>
  <si>
    <t>Policy to be implemented by IT Manager.
Compliance should be ongoing by technician.</t>
  </si>
  <si>
    <t>commencement of project</t>
  </si>
  <si>
    <t>     </t>
  </si>
  <si>
    <t>Lone Working - Working in Server room in isolation</t>
  </si>
  <si>
    <t>Server room is a locked/temperature controlled environment. Risk of becoming trapped in event of fire/Halon protection being deployed.</t>
  </si>
  <si>
    <t>All server room working must be notified to manager before start and at end of session.
Server room to be left open while staff are working inside.
locks should fail open to allow safe escape in event of emergency.</t>
  </si>
  <si>
    <t>Lone working - out of hours</t>
  </si>
  <si>
    <t>Increased threat of attack from malicious actor resulting in a physical assault</t>
  </si>
  <si>
    <t>Introduction of lone working policy.
Check-in phonecalls to line manager.
End of shift safe call to confirm all is well.
installation of CCTV to detect intruders and to act as deterrent.</t>
  </si>
  <si>
    <t>Manual Handling - Moving of heavy PCs, switches and servers as part of installation process</t>
  </si>
  <si>
    <t>threat of back injury due to lifting heavy items or poor lifting technique</t>
  </si>
  <si>
    <t>Manual Handling Training
Manual Handling Policy introduced
Provision of Trolleys or wheels for moving equipment
2 person lift requirement for larger items.</t>
  </si>
  <si>
    <t>Policy to be implemented by IT Manager.
IT manager to organise Manual Handling Training.
IT Manager to provide wheels/trolleys.
Compliance should be ongoing by technician.</t>
  </si>
  <si>
    <t>Policy should be prepared prior to project commencement, all manual handling training completed before manual tasks are completed.</t>
  </si>
  <si>
    <t>Working at Height - installation of network cabling on site</t>
  </si>
  <si>
    <t>risk of fall from ladder resulting in physical injury</t>
  </si>
  <si>
    <t>Working at height training (ladders).
Introduction of 2 persons working for any height related task.
Ladders should be held whilst in use.</t>
  </si>
  <si>
    <t>Fire Safety - risk of fire from papers being left on top of computers etc</t>
  </si>
  <si>
    <t>Injury or potential death through burns/smoke inhallation</t>
  </si>
  <si>
    <t>Clear desk policy preventing paperwork from blocking vents etc on computers.</t>
  </si>
  <si>
    <t>Compliance by all staff</t>
  </si>
  <si>
    <t>Immediate</t>
  </si>
  <si>
    <t>Fire safety - risk of fire from faulty electrical equipment</t>
  </si>
  <si>
    <t>Annual PAT testing of equipment to ensure they are fit for purpose.
no personal equipment should be plugged in</t>
  </si>
  <si>
    <t>PAT Testing schedule managed by IT Manager</t>
  </si>
  <si>
    <t>within 12 Months of purchase</t>
  </si>
  <si>
    <t>Electric Shock - risk of shock from faulty equipment</t>
  </si>
  <si>
    <t>Electric shock resulting in serious injury or death</t>
  </si>
  <si>
    <t>annual PAT testing of equipment to ensure they are fit for purpose
no personal equipment should be plugged in</t>
  </si>
  <si>
    <t>Display screens and workstations</t>
  </si>
  <si>
    <t>Eye strain from poor lighting on monitor</t>
  </si>
  <si>
    <t>Annual Display Screen/Workplace assessment by qualified H&amp;S representative</t>
  </si>
  <si>
    <t>IT Manager</t>
  </si>
  <si>
    <t>Every 12 months</t>
  </si>
  <si>
    <t>Wrist pain/rsi from poor keyboard/mouse positioning</t>
  </si>
  <si>
    <t>Every 12 Months</t>
  </si>
  <si>
    <t>Back Pain from inappropriate chair usage</t>
  </si>
  <si>
    <t>Device Type</t>
  </si>
  <si>
    <t>Device Name</t>
  </si>
  <si>
    <t>Serial No.</t>
  </si>
  <si>
    <t>MAC Address</t>
  </si>
  <si>
    <t>IP Assignment Method</t>
  </si>
  <si>
    <t>IP Address</t>
  </si>
  <si>
    <t>Location</t>
  </si>
  <si>
    <t>Notes</t>
  </si>
  <si>
    <t>Server</t>
  </si>
  <si>
    <t>DC01</t>
  </si>
  <si>
    <t>44-BA-E7-97-8A-6B</t>
  </si>
  <si>
    <t>Manual</t>
  </si>
  <si>
    <t>192.168.0.1</t>
  </si>
  <si>
    <t>Server Room</t>
  </si>
  <si>
    <t>PC</t>
  </si>
  <si>
    <t>PC001</t>
  </si>
  <si>
    <t>DHCP</t>
  </si>
  <si>
    <t>Workplace</t>
  </si>
  <si>
    <t>PC002</t>
  </si>
  <si>
    <t>PC003</t>
  </si>
  <si>
    <t>PC004</t>
  </si>
  <si>
    <t>PC005</t>
  </si>
  <si>
    <t>PC006</t>
  </si>
  <si>
    <t>PC007</t>
  </si>
  <si>
    <t>PC008</t>
  </si>
  <si>
    <t>PC009</t>
  </si>
  <si>
    <t>PC010</t>
  </si>
  <si>
    <t>PC011</t>
  </si>
  <si>
    <t>PC012</t>
  </si>
  <si>
    <t>PC013</t>
  </si>
  <si>
    <t>PC014</t>
  </si>
  <si>
    <t>PC015</t>
  </si>
  <si>
    <t>PC016</t>
  </si>
  <si>
    <t>PC017</t>
  </si>
  <si>
    <t>PC018</t>
  </si>
  <si>
    <t>PC019</t>
  </si>
  <si>
    <t>PC020</t>
  </si>
  <si>
    <t>PC021</t>
  </si>
  <si>
    <t>PC022</t>
  </si>
  <si>
    <t>PC023</t>
  </si>
  <si>
    <t>PC024</t>
  </si>
  <si>
    <t>PC025</t>
  </si>
  <si>
    <t>PC026</t>
  </si>
  <si>
    <t>PC027</t>
  </si>
  <si>
    <t>PC028</t>
  </si>
  <si>
    <t>PC029</t>
  </si>
  <si>
    <t>PC030</t>
  </si>
  <si>
    <t>PC031</t>
  </si>
  <si>
    <t>PC032</t>
  </si>
  <si>
    <t>PC033</t>
  </si>
  <si>
    <t>PC034</t>
  </si>
  <si>
    <t>PC035</t>
  </si>
  <si>
    <t>PC036</t>
  </si>
  <si>
    <t>PC037</t>
  </si>
  <si>
    <t>PC038</t>
  </si>
  <si>
    <t>PC039</t>
  </si>
  <si>
    <t>PC040</t>
  </si>
  <si>
    <t>PC041</t>
  </si>
  <si>
    <t>PC042</t>
  </si>
  <si>
    <t>PC043</t>
  </si>
  <si>
    <t>PC044</t>
  </si>
  <si>
    <t>PC045</t>
  </si>
  <si>
    <t>PC046</t>
  </si>
  <si>
    <t>PC047</t>
  </si>
  <si>
    <t>PC048</t>
  </si>
  <si>
    <t>PC049</t>
  </si>
  <si>
    <t>PC050</t>
  </si>
  <si>
    <t>PC051</t>
  </si>
  <si>
    <t>PC052</t>
  </si>
  <si>
    <t>PC053</t>
  </si>
  <si>
    <t>PC054</t>
  </si>
  <si>
    <t>PC055</t>
  </si>
  <si>
    <t>PC056</t>
  </si>
  <si>
    <t>PC057</t>
  </si>
  <si>
    <t>PC058</t>
  </si>
  <si>
    <t>PC059</t>
  </si>
  <si>
    <t>PC060</t>
  </si>
  <si>
    <t>PC061</t>
  </si>
  <si>
    <t>PC062</t>
  </si>
  <si>
    <t>PC063</t>
  </si>
  <si>
    <t>PC064</t>
  </si>
  <si>
    <t>PC065</t>
  </si>
  <si>
    <t>PC066</t>
  </si>
  <si>
    <t>PC067</t>
  </si>
  <si>
    <t>PC068</t>
  </si>
  <si>
    <t>PC069</t>
  </si>
  <si>
    <t>PC070</t>
  </si>
  <si>
    <t>PC071</t>
  </si>
  <si>
    <t>PC072</t>
  </si>
  <si>
    <t>PC073</t>
  </si>
  <si>
    <t>PC074</t>
  </si>
  <si>
    <t>PC075</t>
  </si>
  <si>
    <t>PC076</t>
  </si>
  <si>
    <t>PC077</t>
  </si>
  <si>
    <t>PC078</t>
  </si>
  <si>
    <t>PC079</t>
  </si>
  <si>
    <t>PC080</t>
  </si>
  <si>
    <t>PC081</t>
  </si>
  <si>
    <t>PC082</t>
  </si>
  <si>
    <t>PC083</t>
  </si>
  <si>
    <t>PC084</t>
  </si>
  <si>
    <t>PC085</t>
  </si>
  <si>
    <t>PC086</t>
  </si>
  <si>
    <t>PC087</t>
  </si>
  <si>
    <t>PC088</t>
  </si>
  <si>
    <t>PC089</t>
  </si>
  <si>
    <t>PC090</t>
  </si>
  <si>
    <t>PC091</t>
  </si>
  <si>
    <t>PC092</t>
  </si>
  <si>
    <t>PC093</t>
  </si>
  <si>
    <t>PC094</t>
  </si>
  <si>
    <t>PC095</t>
  </si>
  <si>
    <t>PC096</t>
  </si>
  <si>
    <t>PC097</t>
  </si>
  <si>
    <t>PC098</t>
  </si>
  <si>
    <t>PC099</t>
  </si>
  <si>
    <t>PC100</t>
  </si>
  <si>
    <t>Switch</t>
  </si>
  <si>
    <t>N/A</t>
  </si>
  <si>
    <t>192.168.0.220</t>
  </si>
  <si>
    <t>10 Port Switch for Backbone</t>
  </si>
  <si>
    <t>192.168.0.221</t>
  </si>
  <si>
    <t>40 Port Switch for Client Connectivity</t>
  </si>
  <si>
    <t>192.168.0.222</t>
  </si>
  <si>
    <t>41 Port Switch for Client Connectivity</t>
  </si>
  <si>
    <t>192.168.0.223</t>
  </si>
  <si>
    <t>42 Port Switch for Client Connectivity</t>
  </si>
  <si>
    <t>Printer</t>
  </si>
  <si>
    <t>PRN01</t>
  </si>
  <si>
    <t>192.168.0.10</t>
  </si>
  <si>
    <t>PRN02</t>
  </si>
  <si>
    <t>192.168.0.11</t>
  </si>
  <si>
    <t>PRN03</t>
  </si>
  <si>
    <t>192.168.0.12</t>
  </si>
  <si>
    <t>PRN04</t>
  </si>
  <si>
    <t>192.168.0.13</t>
  </si>
  <si>
    <t>PRN05</t>
  </si>
  <si>
    <t>192.168.0.14</t>
  </si>
  <si>
    <t>Gateway Router</t>
  </si>
  <si>
    <t>192.168.0.254</t>
  </si>
  <si>
    <t>Provides internet access to the nextwork</t>
  </si>
  <si>
    <t>RISK REGISTER</t>
  </si>
  <si>
    <t>Risk Rating</t>
  </si>
  <si>
    <t>Date Raised</t>
  </si>
  <si>
    <t>Raised By</t>
  </si>
  <si>
    <t>Owner</t>
  </si>
  <si>
    <t>ID</t>
  </si>
  <si>
    <t>Status</t>
  </si>
  <si>
    <t>Description</t>
  </si>
  <si>
    <t>Probability</t>
  </si>
  <si>
    <t>Impact</t>
  </si>
  <si>
    <t>Proximity</t>
  </si>
  <si>
    <t>Rating</t>
  </si>
  <si>
    <t>Proposed Mitigation Action(s)</t>
  </si>
  <si>
    <t>R1</t>
  </si>
  <si>
    <t>Open</t>
  </si>
  <si>
    <t>Removable Media - potential for data to be lost due to loss of USB drives ETC</t>
  </si>
  <si>
    <t>Likely</t>
  </si>
  <si>
    <t>High</t>
  </si>
  <si>
    <t>&lt;= 3 Months</t>
  </si>
  <si>
    <t>Implement Bitlocker to Go on all removable media - enforced by GPO</t>
  </si>
  <si>
    <t>R2</t>
  </si>
  <si>
    <t>Data loss - potential for attacker to intercept confidential emails in transit</t>
  </si>
  <si>
    <t>Possible</t>
  </si>
  <si>
    <t>&gt;= 6 Months</t>
  </si>
  <si>
    <t>All confidential documents should be encrypted before sending with passwords provided to recipient separately.</t>
  </si>
  <si>
    <t>R3</t>
  </si>
  <si>
    <t>Data Loss - hard copies of data falling into malicious hands via activity such as dumpster diving</t>
  </si>
  <si>
    <t>Unlikely</t>
  </si>
  <si>
    <t>Utilise Data Loss Prevention solution to prevent unauthorised printing of documents.  Ensure shredding facilities are easily accessible to all staff.  Introduce Data protection policy to enforce shredding of documents.</t>
  </si>
  <si>
    <t>R4</t>
  </si>
  <si>
    <t>Data Loss - due to malicious attack on company server</t>
  </si>
  <si>
    <t>Ensure Endpoint software is up to date.
Ensure firewall configuration is verified and secure. Server should be hardened to minimise potential attack surface.</t>
  </si>
  <si>
    <t>R5</t>
  </si>
  <si>
    <t>Data loss through Data Hijacking - ransomware attack</t>
  </si>
  <si>
    <t>&lt;= 2 Months</t>
  </si>
  <si>
    <t>Mandatory training for all staff regarding Phishing Attacks.
Implementation of Endpoint Protection software
ensure EP software updates are maintained.
Introduce malware reporting email address to ensure potetial attacks are identifed quickly.</t>
  </si>
  <si>
    <t>R6</t>
  </si>
  <si>
    <t>Data loss or malicious attack through compromised passwords being used by malicious actor</t>
  </si>
  <si>
    <t>Mandatory phishing training for all staff.
Mandatory password training for all staff.
Implementation of complex password policy through Group Policy.
Introduction of two factor authentication for logging into systems.</t>
  </si>
  <si>
    <t>R7</t>
  </si>
  <si>
    <t>Data loss through data being copied to personal phones</t>
  </si>
  <si>
    <t>Medium</t>
  </si>
  <si>
    <t>&lt; 2 weeks</t>
  </si>
  <si>
    <t>Implement ban on use of personal devices for company data.</t>
  </si>
  <si>
    <t>R8</t>
  </si>
  <si>
    <t>Data loss through loss of company phones</t>
  </si>
  <si>
    <t>Mobile device management software introduced.
Remote lock and remote wipe set up in case of lost devices.
Requirement for pin number or biometrics for access to company mobile devices.</t>
  </si>
  <si>
    <t>R9</t>
  </si>
  <si>
    <t>DDOS attack on company server preventing access to resources</t>
  </si>
  <si>
    <t>Ensure firewall is configured to prevent access for ICMP traffic.</t>
  </si>
  <si>
    <t>R10</t>
  </si>
  <si>
    <t>R11</t>
  </si>
  <si>
    <t>R12</t>
  </si>
  <si>
    <t>R13</t>
  </si>
  <si>
    <t>R14</t>
  </si>
  <si>
    <t>R15</t>
  </si>
  <si>
    <t>R16</t>
  </si>
  <si>
    <t>R17</t>
  </si>
  <si>
    <t>R18</t>
  </si>
  <si>
    <t>R19</t>
  </si>
  <si>
    <t>R20</t>
  </si>
  <si>
    <t>R21</t>
  </si>
  <si>
    <t>R22</t>
  </si>
  <si>
    <t>R23</t>
  </si>
  <si>
    <t>R24</t>
  </si>
  <si>
    <t>R25</t>
  </si>
  <si>
    <t>R26</t>
  </si>
  <si>
    <t>R27</t>
  </si>
  <si>
    <t>R28</t>
  </si>
  <si>
    <t>R29</t>
  </si>
  <si>
    <t>R30</t>
  </si>
  <si>
    <t>R31</t>
  </si>
  <si>
    <t>R32</t>
  </si>
  <si>
    <t>R33</t>
  </si>
  <si>
    <t>R34</t>
  </si>
  <si>
    <t>R35</t>
  </si>
  <si>
    <t>R36</t>
  </si>
  <si>
    <t>R37</t>
  </si>
  <si>
    <t>R38</t>
  </si>
  <si>
    <t>R39</t>
  </si>
  <si>
    <t>R40</t>
  </si>
  <si>
    <t>R41</t>
  </si>
  <si>
    <t>R42</t>
  </si>
  <si>
    <t>R43</t>
  </si>
  <si>
    <t>R44</t>
  </si>
  <si>
    <t>R45</t>
  </si>
  <si>
    <t>R46</t>
  </si>
  <si>
    <t>R47</t>
  </si>
  <si>
    <t>R48</t>
  </si>
  <si>
    <t>R49</t>
  </si>
  <si>
    <t>R50</t>
  </si>
  <si>
    <t>R51</t>
  </si>
  <si>
    <t>R52</t>
  </si>
  <si>
    <t>R53</t>
  </si>
  <si>
    <t>R54</t>
  </si>
  <si>
    <t>R55</t>
  </si>
  <si>
    <t>R56</t>
  </si>
  <si>
    <t>R57</t>
  </si>
  <si>
    <t>R58</t>
  </si>
  <si>
    <t>R59</t>
  </si>
  <si>
    <t>R60</t>
  </si>
  <si>
    <t>R61</t>
  </si>
  <si>
    <t>R62</t>
  </si>
  <si>
    <t>R63</t>
  </si>
  <si>
    <t>R64</t>
  </si>
  <si>
    <t>R65</t>
  </si>
  <si>
    <t>R66</t>
  </si>
  <si>
    <t>R67</t>
  </si>
  <si>
    <t>R68</t>
  </si>
  <si>
    <t>R69</t>
  </si>
  <si>
    <t>R70</t>
  </si>
  <si>
    <t>R71</t>
  </si>
  <si>
    <t>R72</t>
  </si>
  <si>
    <t>R73</t>
  </si>
  <si>
    <t>R74</t>
  </si>
  <si>
    <t>R75</t>
  </si>
  <si>
    <t>R76</t>
  </si>
  <si>
    <t>R77</t>
  </si>
  <si>
    <t>R78</t>
  </si>
  <si>
    <t>R79</t>
  </si>
  <si>
    <t>R80</t>
  </si>
  <si>
    <t>R81</t>
  </si>
  <si>
    <t>R82</t>
  </si>
  <si>
    <t>R83</t>
  </si>
  <si>
    <t>R84</t>
  </si>
  <si>
    <t>R85</t>
  </si>
  <si>
    <t>R86</t>
  </si>
  <si>
    <t>R87</t>
  </si>
  <si>
    <t>R88</t>
  </si>
  <si>
    <t>R89</t>
  </si>
  <si>
    <t>R90</t>
  </si>
  <si>
    <t>R91</t>
  </si>
  <si>
    <t>R92</t>
  </si>
  <si>
    <t>R93</t>
  </si>
  <si>
    <t>R94</t>
  </si>
  <si>
    <t>R95</t>
  </si>
  <si>
    <t>R96</t>
  </si>
  <si>
    <t>R97</t>
  </si>
  <si>
    <t>R98</t>
  </si>
  <si>
    <t>R99</t>
  </si>
  <si>
    <t>R100</t>
  </si>
  <si>
    <t>R101</t>
  </si>
  <si>
    <t>R102</t>
  </si>
  <si>
    <t>R103</t>
  </si>
  <si>
    <t>R104</t>
  </si>
  <si>
    <t>R105</t>
  </si>
  <si>
    <t>R106</t>
  </si>
  <si>
    <t>R107</t>
  </si>
  <si>
    <t>R108</t>
  </si>
  <si>
    <t>R109</t>
  </si>
  <si>
    <t>R110</t>
  </si>
  <si>
    <t>R111</t>
  </si>
  <si>
    <t>R112</t>
  </si>
  <si>
    <t>R113</t>
  </si>
  <si>
    <t>R114</t>
  </si>
  <si>
    <t>R115</t>
  </si>
  <si>
    <t>R116</t>
  </si>
  <si>
    <t>R117</t>
  </si>
  <si>
    <t>R118</t>
  </si>
  <si>
    <t>R119</t>
  </si>
  <si>
    <t>R120</t>
  </si>
  <si>
    <t>R121</t>
  </si>
  <si>
    <t>R122</t>
  </si>
  <si>
    <t>R123</t>
  </si>
  <si>
    <t>R124</t>
  </si>
  <si>
    <t>R125</t>
  </si>
  <si>
    <t>R126</t>
  </si>
  <si>
    <t>R127</t>
  </si>
  <si>
    <t>R128</t>
  </si>
  <si>
    <t>R129</t>
  </si>
  <si>
    <t>R130</t>
  </si>
  <si>
    <t>R131</t>
  </si>
  <si>
    <t>R132</t>
  </si>
  <si>
    <t>R133</t>
  </si>
  <si>
    <t>R134</t>
  </si>
  <si>
    <t>R135</t>
  </si>
  <si>
    <t>R136</t>
  </si>
  <si>
    <t>R137</t>
  </si>
  <si>
    <t>R138</t>
  </si>
  <si>
    <t>R139</t>
  </si>
  <si>
    <t>R140</t>
  </si>
  <si>
    <t>R141</t>
  </si>
  <si>
    <t>R142</t>
  </si>
  <si>
    <t>R143</t>
  </si>
  <si>
    <t>R144</t>
  </si>
  <si>
    <t>R145</t>
  </si>
  <si>
    <t>R146</t>
  </si>
  <si>
    <t>R147</t>
  </si>
  <si>
    <t>R148</t>
  </si>
  <si>
    <t>R149</t>
  </si>
  <si>
    <t>R150</t>
  </si>
  <si>
    <t>R151</t>
  </si>
  <si>
    <t>R152</t>
  </si>
  <si>
    <t>R153</t>
  </si>
  <si>
    <t>R154</t>
  </si>
  <si>
    <t>R155</t>
  </si>
  <si>
    <t>R156</t>
  </si>
  <si>
    <t>R157</t>
  </si>
  <si>
    <t>R158</t>
  </si>
  <si>
    <t>R159</t>
  </si>
  <si>
    <t>R160</t>
  </si>
  <si>
    <t>R161</t>
  </si>
  <si>
    <t>R162</t>
  </si>
  <si>
    <t>R163</t>
  </si>
  <si>
    <t>R164</t>
  </si>
  <si>
    <t>R165</t>
  </si>
  <si>
    <t>R166</t>
  </si>
  <si>
    <t>R167</t>
  </si>
  <si>
    <t>R168</t>
  </si>
  <si>
    <t>R169</t>
  </si>
  <si>
    <t>R170</t>
  </si>
  <si>
    <t>R171</t>
  </si>
  <si>
    <t>R172</t>
  </si>
  <si>
    <t>R173</t>
  </si>
  <si>
    <t>R174</t>
  </si>
  <si>
    <t>R175</t>
  </si>
  <si>
    <t>R176</t>
  </si>
  <si>
    <t>R177</t>
  </si>
  <si>
    <t>R178</t>
  </si>
  <si>
    <t>R179</t>
  </si>
  <si>
    <t>R180</t>
  </si>
  <si>
    <t>R181</t>
  </si>
  <si>
    <t>R182</t>
  </si>
  <si>
    <t>R183</t>
  </si>
  <si>
    <t>R184</t>
  </si>
  <si>
    <t>R185</t>
  </si>
  <si>
    <t>R186</t>
  </si>
  <si>
    <t>R187</t>
  </si>
  <si>
    <t>R188</t>
  </si>
  <si>
    <t>R189</t>
  </si>
  <si>
    <t>R190</t>
  </si>
  <si>
    <t>R191</t>
  </si>
  <si>
    <t>R192</t>
  </si>
  <si>
    <t>R193</t>
  </si>
  <si>
    <t>R194</t>
  </si>
  <si>
    <t>R195</t>
  </si>
  <si>
    <t>R196</t>
  </si>
  <si>
    <t>R197</t>
  </si>
  <si>
    <t>R198</t>
  </si>
  <si>
    <t>R199</t>
  </si>
  <si>
    <t xml:space="preserve">Device ID: </t>
  </si>
  <si>
    <t>Location:</t>
  </si>
  <si>
    <t>Mobile Device</t>
  </si>
  <si>
    <t>Office</t>
  </si>
  <si>
    <t>Installed Date:</t>
  </si>
  <si>
    <t>14th Oct 2020</t>
  </si>
  <si>
    <t>Installed By:</t>
  </si>
  <si>
    <t>Install Type</t>
  </si>
  <si>
    <t>Full Installation</t>
  </si>
  <si>
    <t>Full installation</t>
  </si>
  <si>
    <t>`5th Oct 2020</t>
  </si>
  <si>
    <t>Updates</t>
  </si>
  <si>
    <t>Software / Drivers  Installed</t>
  </si>
  <si>
    <t>Installation Notes</t>
  </si>
  <si>
    <t>Vulnerabilities Notes</t>
  </si>
  <si>
    <t>Recommended Actions</t>
  </si>
  <si>
    <t>Lookup1</t>
  </si>
  <si>
    <t>Lookup2</t>
  </si>
  <si>
    <t>Lookup3</t>
  </si>
  <si>
    <t>Lookup4</t>
  </si>
  <si>
    <t>Lookup5</t>
  </si>
  <si>
    <t>Lookup6</t>
  </si>
  <si>
    <t>Lookup7</t>
  </si>
  <si>
    <t>Lookup8</t>
  </si>
  <si>
    <t>Lookup9</t>
  </si>
  <si>
    <t>Lookup10</t>
  </si>
  <si>
    <t>Lookup11</t>
  </si>
  <si>
    <t>Lookup12</t>
  </si>
  <si>
    <t>Lookup13</t>
  </si>
  <si>
    <t>Lookup14</t>
  </si>
  <si>
    <t>Lookup15</t>
  </si>
  <si>
    <t>Lookup16</t>
  </si>
  <si>
    <t>Lookup17</t>
  </si>
  <si>
    <t>Lookup18</t>
  </si>
  <si>
    <t>Lookup19</t>
  </si>
  <si>
    <t>Lookup20</t>
  </si>
  <si>
    <t>Name</t>
  </si>
  <si>
    <t>Yes/No</t>
  </si>
  <si>
    <t>Type</t>
  </si>
  <si>
    <t>IP Address Assignment</t>
  </si>
  <si>
    <t>Probability Rating</t>
  </si>
  <si>
    <t xml:space="preserve">Impact </t>
  </si>
  <si>
    <t>Impact Rating</t>
  </si>
  <si>
    <t>Proximity Rating</t>
  </si>
  <si>
    <t>Action Status</t>
  </si>
  <si>
    <t>ELEMENTS</t>
  </si>
  <si>
    <t>Probable</t>
  </si>
  <si>
    <t>Catastrophic</t>
  </si>
  <si>
    <t>No</t>
  </si>
  <si>
    <t>SAN</t>
  </si>
  <si>
    <t>Closed</t>
  </si>
  <si>
    <t>&lt;= 1 Month</t>
  </si>
  <si>
    <t>Network Switch</t>
  </si>
  <si>
    <t>Low</t>
  </si>
  <si>
    <t>Negligible</t>
  </si>
  <si>
    <t>&lt;= 4 Months</t>
  </si>
  <si>
    <t>&lt;= 5 Months</t>
  </si>
  <si>
    <t>TEST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</si>
</sst>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1">
    <font>
      <sz val="11"/>
      <color theme="1"/>
      <name val="Calibri"/>
      <family val="2"/>
      <scheme val="minor"/>
    </font>
    <font>
      <sz val="11"/>
      <color theme="1"/>
      <name val="Calibri"/>
      <family val="2"/>
      <scheme val="minor"/>
    </font>
    <font>
      <b/>
      <sz val="11"/>
      <color theme="1"/>
      <name val="Calibri"/>
      <family val="2"/>
      <scheme val="minor"/>
    </font>
    <font>
      <b/>
      <sz val="15"/>
      <color theme="1"/>
      <name val="Arial"/>
      <family val="2"/>
    </font>
    <font>
      <b/>
      <sz val="12"/>
      <color theme="1"/>
      <name val="Arial"/>
      <family val="2"/>
    </font>
    <font>
      <sz val="12"/>
      <color theme="1"/>
      <name val="Arial"/>
      <family val="2"/>
    </font>
    <font>
      <b/>
      <u/>
      <sz val="16"/>
      <color rgb="FFFF0000"/>
      <name val="Calibri"/>
      <family val="2"/>
      <scheme val="minor"/>
    </font>
    <font>
      <b/>
      <u/>
      <sz val="16"/>
      <color theme="1"/>
      <name val="Calibri"/>
      <family val="2"/>
      <scheme val="minor"/>
    </font>
    <font>
      <b/>
      <sz val="28"/>
      <color rgb="FFFF0000"/>
      <name val="Calibri"/>
      <family val="2"/>
      <scheme val="minor"/>
    </font>
    <font>
      <sz val="10"/>
      <color rgb="FF000000"/>
      <name val="Arial"/>
      <family val="2"/>
    </font>
    <font>
      <b/>
      <sz val="11"/>
      <color rgb="FF000000"/>
      <name val="Arial"/>
      <family val="2"/>
    </font>
    <font>
      <b/>
      <sz val="10"/>
      <color rgb="FF000000"/>
      <name val="Arial"/>
      <family val="2"/>
    </font>
    <font>
      <b/>
      <sz val="18"/>
      <color rgb="FFFF0000"/>
      <name val="Calibri"/>
      <family val="2"/>
      <scheme val="minor"/>
    </font>
    <font>
      <sz val="8"/>
      <name val="Calibri"/>
      <family val="2"/>
      <scheme val="minor"/>
    </font>
    <font>
      <b/>
      <sz val="12"/>
      <name val="Arial"/>
      <family val="2"/>
    </font>
    <font>
      <sz val="10"/>
      <color theme="1"/>
      <name val="Symbol"/>
      <family val="1"/>
      <charset val="2"/>
    </font>
    <font>
      <strike/>
      <sz val="10"/>
      <color rgb="FFFF0000"/>
      <name val="Symbol"/>
      <family val="1"/>
      <charset val="2"/>
    </font>
    <font>
      <sz val="10"/>
      <color theme="1"/>
      <name val="Calibri"/>
      <family val="2"/>
      <scheme val="minor"/>
    </font>
    <font>
      <b/>
      <sz val="16"/>
      <color theme="1"/>
      <name val="Calibri"/>
      <family val="2"/>
      <scheme val="minor"/>
    </font>
    <font>
      <b/>
      <sz val="22"/>
      <color rgb="FF0070C0"/>
      <name val="Arial"/>
      <family val="2"/>
    </font>
    <font>
      <b/>
      <sz val="14"/>
      <color theme="1"/>
      <name val="Calibri"/>
      <family val="2"/>
      <scheme val="minor"/>
    </font>
    <font>
      <b/>
      <sz val="12"/>
      <color rgb="FFFF0000"/>
      <name val="Arial"/>
      <family val="2"/>
    </font>
    <font>
      <sz val="12"/>
      <color theme="1"/>
      <name val="Arial"/>
      <family val="2"/>
    </font>
    <font>
      <b/>
      <sz val="15"/>
      <name val="Arial"/>
      <family val="2"/>
    </font>
    <font>
      <sz val="12"/>
      <name val="Arial"/>
      <family val="2"/>
    </font>
    <font>
      <b/>
      <sz val="12"/>
      <color theme="1"/>
      <name val="Arial"/>
    </font>
    <font>
      <sz val="12"/>
      <color theme="1"/>
      <name val="Arial"/>
    </font>
    <font>
      <sz val="11"/>
      <color theme="1"/>
      <name val="Arial"/>
    </font>
    <font>
      <sz val="12"/>
      <name val="Arial"/>
    </font>
    <font>
      <i/>
      <sz val="12"/>
      <name val="Arial"/>
    </font>
    <font>
      <sz val="12"/>
      <color rgb="FFFF0000"/>
      <name val="Arial"/>
    </font>
  </fonts>
  <fills count="4">
    <fill>
      <patternFill patternType="none"/>
    </fill>
    <fill>
      <patternFill patternType="gray125"/>
    </fill>
    <fill>
      <patternFill patternType="solid">
        <fgColor theme="4" tint="0.59999389629810485"/>
        <bgColor indexed="64"/>
      </patternFill>
    </fill>
    <fill>
      <patternFill patternType="solid">
        <fgColor theme="4" tint="0.59999389629810485"/>
        <bgColor rgb="FFFFFF00"/>
      </patternFill>
    </fill>
  </fills>
  <borders count="71">
    <border>
      <left/>
      <right/>
      <top/>
      <bottom/>
      <diagonal/>
    </border>
    <border>
      <left style="thick">
        <color auto="1"/>
      </left>
      <right style="thick">
        <color auto="1"/>
      </right>
      <top style="thick">
        <color auto="1"/>
      </top>
      <bottom style="thick">
        <color auto="1"/>
      </bottom>
      <diagonal/>
    </border>
    <border>
      <left style="thick">
        <color auto="1"/>
      </left>
      <right style="thick">
        <color auto="1"/>
      </right>
      <top/>
      <bottom/>
      <diagonal/>
    </border>
    <border>
      <left style="thick">
        <color auto="1"/>
      </left>
      <right style="thick">
        <color auto="1"/>
      </right>
      <top style="thick">
        <color auto="1"/>
      </top>
      <bottom style="dashed">
        <color auto="1"/>
      </bottom>
      <diagonal/>
    </border>
    <border>
      <left style="thick">
        <color auto="1"/>
      </left>
      <right style="thick">
        <color auto="1"/>
      </right>
      <top/>
      <bottom style="dashed">
        <color auto="1"/>
      </bottom>
      <diagonal/>
    </border>
    <border>
      <left style="thick">
        <color auto="1"/>
      </left>
      <right style="thick">
        <color auto="1"/>
      </right>
      <top style="dashed">
        <color auto="1"/>
      </top>
      <bottom style="dashed">
        <color auto="1"/>
      </bottom>
      <diagonal/>
    </border>
    <border>
      <left style="thick">
        <color auto="1"/>
      </left>
      <right style="thick">
        <color auto="1"/>
      </right>
      <top/>
      <bottom style="thick">
        <color auto="1"/>
      </bottom>
      <diagonal/>
    </border>
    <border>
      <left style="thick">
        <color auto="1"/>
      </left>
      <right style="thick">
        <color auto="1"/>
      </right>
      <top style="dashed">
        <color auto="1"/>
      </top>
      <bottom style="thick">
        <color auto="1"/>
      </bottom>
      <diagonal/>
    </border>
    <border>
      <left style="thick">
        <color auto="1"/>
      </left>
      <right style="medium">
        <color auto="1"/>
      </right>
      <top style="thick">
        <color auto="1"/>
      </top>
      <bottom style="thick">
        <color auto="1"/>
      </bottom>
      <diagonal/>
    </border>
    <border>
      <left style="medium">
        <color auto="1"/>
      </left>
      <right style="medium">
        <color auto="1"/>
      </right>
      <top style="thick">
        <color auto="1"/>
      </top>
      <bottom style="thick">
        <color auto="1"/>
      </bottom>
      <diagonal/>
    </border>
    <border>
      <left style="medium">
        <color indexed="64"/>
      </left>
      <right style="thick">
        <color indexed="64"/>
      </right>
      <top style="thick">
        <color indexed="64"/>
      </top>
      <bottom style="thick">
        <color indexed="64"/>
      </bottom>
      <diagonal/>
    </border>
    <border>
      <left style="thick">
        <color indexed="64"/>
      </left>
      <right style="medium">
        <color indexed="64"/>
      </right>
      <top style="thick">
        <color indexed="64"/>
      </top>
      <bottom style="thin">
        <color indexed="64"/>
      </bottom>
      <diagonal/>
    </border>
    <border>
      <left style="medium">
        <color indexed="64"/>
      </left>
      <right style="medium">
        <color indexed="64"/>
      </right>
      <top style="thick">
        <color indexed="64"/>
      </top>
      <bottom style="thin">
        <color indexed="64"/>
      </bottom>
      <diagonal/>
    </border>
    <border>
      <left style="medium">
        <color indexed="64"/>
      </left>
      <right style="thick">
        <color indexed="64"/>
      </right>
      <top style="thick">
        <color indexed="64"/>
      </top>
      <bottom style="thin">
        <color indexed="64"/>
      </bottom>
      <diagonal/>
    </border>
    <border>
      <left style="thick">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ck">
        <color indexed="64"/>
      </right>
      <top style="thin">
        <color indexed="64"/>
      </top>
      <bottom style="thin">
        <color indexed="64"/>
      </bottom>
      <diagonal/>
    </border>
    <border>
      <left style="thick">
        <color indexed="64"/>
      </left>
      <right style="medium">
        <color indexed="64"/>
      </right>
      <top style="thin">
        <color indexed="64"/>
      </top>
      <bottom style="thick">
        <color indexed="64"/>
      </bottom>
      <diagonal/>
    </border>
    <border>
      <left style="medium">
        <color indexed="64"/>
      </left>
      <right style="medium">
        <color indexed="64"/>
      </right>
      <top style="thin">
        <color indexed="64"/>
      </top>
      <bottom style="thick">
        <color indexed="64"/>
      </bottom>
      <diagonal/>
    </border>
    <border>
      <left style="medium">
        <color indexed="64"/>
      </left>
      <right style="thick">
        <color indexed="64"/>
      </right>
      <top style="thin">
        <color indexed="64"/>
      </top>
      <bottom style="thick">
        <color indexed="64"/>
      </bottom>
      <diagonal/>
    </border>
    <border>
      <left style="medium">
        <color indexed="64"/>
      </left>
      <right style="medium">
        <color indexed="64"/>
      </right>
      <top style="medium">
        <color indexed="64"/>
      </top>
      <bottom style="thick">
        <color indexed="64"/>
      </bottom>
      <diagonal/>
    </border>
    <border>
      <left style="medium">
        <color indexed="64"/>
      </left>
      <right style="medium">
        <color indexed="64"/>
      </right>
      <top/>
      <bottom style="thick">
        <color indexed="64"/>
      </bottom>
      <diagonal/>
    </border>
    <border>
      <left/>
      <right style="medium">
        <color indexed="64"/>
      </right>
      <top/>
      <bottom style="thick">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style="thick">
        <color indexed="64"/>
      </left>
      <right/>
      <top style="thick">
        <color indexed="64"/>
      </top>
      <bottom style="medium">
        <color indexed="64"/>
      </bottom>
      <diagonal/>
    </border>
    <border>
      <left style="thick">
        <color indexed="64"/>
      </left>
      <right/>
      <top style="medium">
        <color indexed="64"/>
      </top>
      <bottom style="thick">
        <color indexed="64"/>
      </bottom>
      <diagonal/>
    </border>
    <border>
      <left style="thick">
        <color indexed="64"/>
      </left>
      <right style="medium">
        <color indexed="64"/>
      </right>
      <top style="thick">
        <color indexed="64"/>
      </top>
      <bottom style="medium">
        <color indexed="64"/>
      </bottom>
      <diagonal/>
    </border>
    <border>
      <left style="medium">
        <color indexed="64"/>
      </left>
      <right style="medium">
        <color indexed="64"/>
      </right>
      <top style="thick">
        <color indexed="64"/>
      </top>
      <bottom style="medium">
        <color indexed="64"/>
      </bottom>
      <diagonal/>
    </border>
    <border>
      <left style="medium">
        <color indexed="64"/>
      </left>
      <right style="thick">
        <color indexed="64"/>
      </right>
      <top style="thick">
        <color indexed="64"/>
      </top>
      <bottom style="medium">
        <color indexed="64"/>
      </bottom>
      <diagonal/>
    </border>
    <border>
      <left style="thick">
        <color indexed="64"/>
      </left>
      <right style="medium">
        <color indexed="64"/>
      </right>
      <top style="medium">
        <color indexed="64"/>
      </top>
      <bottom style="thick">
        <color indexed="64"/>
      </bottom>
      <diagonal/>
    </border>
    <border>
      <left style="medium">
        <color indexed="64"/>
      </left>
      <right style="thick">
        <color indexed="64"/>
      </right>
      <top style="medium">
        <color indexed="64"/>
      </top>
      <bottom style="thick">
        <color indexed="64"/>
      </bottom>
      <diagonal/>
    </border>
    <border>
      <left style="thick">
        <color indexed="64"/>
      </left>
      <right style="medium">
        <color indexed="64"/>
      </right>
      <top/>
      <bottom style="thin">
        <color indexed="64"/>
      </bottom>
      <diagonal/>
    </border>
    <border>
      <left style="medium">
        <color indexed="64"/>
      </left>
      <right style="medium">
        <color indexed="64"/>
      </right>
      <top/>
      <bottom style="thin">
        <color indexed="64"/>
      </bottom>
      <diagonal/>
    </border>
    <border>
      <left style="medium">
        <color indexed="64"/>
      </left>
      <right style="thick">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thick">
        <color indexed="64"/>
      </bottom>
      <diagonal/>
    </border>
    <border>
      <left/>
      <right/>
      <top style="thick">
        <color indexed="64"/>
      </top>
      <bottom style="thin">
        <color indexed="64"/>
      </bottom>
      <diagonal/>
    </border>
    <border>
      <left/>
      <right style="thick">
        <color indexed="64"/>
      </right>
      <top style="thick">
        <color indexed="64"/>
      </top>
      <bottom style="thin">
        <color indexed="64"/>
      </bottom>
      <diagonal/>
    </border>
    <border>
      <left style="thick">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ck">
        <color indexed="64"/>
      </right>
      <top style="medium">
        <color indexed="64"/>
      </top>
      <bottom style="medium">
        <color indexed="64"/>
      </bottom>
      <diagonal/>
    </border>
    <border>
      <left/>
      <right/>
      <top style="thin">
        <color indexed="64"/>
      </top>
      <bottom style="thin">
        <color indexed="64"/>
      </bottom>
      <diagonal/>
    </border>
    <border>
      <left/>
      <right style="thick">
        <color indexed="64"/>
      </right>
      <top style="thin">
        <color indexed="64"/>
      </top>
      <bottom style="thin">
        <color indexed="64"/>
      </bottom>
      <diagonal/>
    </border>
    <border>
      <left style="medium">
        <color indexed="64"/>
      </left>
      <right/>
      <top style="thick">
        <color indexed="64"/>
      </top>
      <bottom style="thin">
        <color indexed="64"/>
      </bottom>
      <diagonal/>
    </border>
    <border>
      <left/>
      <right style="thick">
        <color indexed="64"/>
      </right>
      <top style="thin">
        <color indexed="64"/>
      </top>
      <bottom style="thick">
        <color indexed="64"/>
      </bottom>
      <diagonal/>
    </border>
    <border>
      <left style="medium">
        <color auto="1"/>
      </left>
      <right/>
      <top style="thick">
        <color auto="1"/>
      </top>
      <bottom/>
      <diagonal/>
    </border>
    <border>
      <left/>
      <right/>
      <top style="thin">
        <color indexed="64"/>
      </top>
      <bottom style="thick">
        <color indexed="64"/>
      </bottom>
      <diagonal/>
    </border>
    <border>
      <left style="medium">
        <color auto="1"/>
      </left>
      <right/>
      <top style="medium">
        <color indexed="64"/>
      </top>
      <bottom style="thick">
        <color auto="1"/>
      </bottom>
      <diagonal/>
    </border>
    <border>
      <left style="medium">
        <color indexed="64"/>
      </left>
      <right/>
      <top style="thin">
        <color indexed="64"/>
      </top>
      <bottom style="medium">
        <color indexed="64"/>
      </bottom>
      <diagonal/>
    </border>
    <border>
      <left/>
      <right style="medium">
        <color indexed="64"/>
      </right>
      <top style="medium">
        <color indexed="64"/>
      </top>
      <bottom style="thick">
        <color indexed="64"/>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bottom style="thick">
        <color indexed="64"/>
      </bottom>
      <diagonal/>
    </border>
    <border>
      <left style="thick">
        <color indexed="64"/>
      </left>
      <right/>
      <top style="thick">
        <color indexed="64"/>
      </top>
      <bottom style="thin">
        <color indexed="64"/>
      </bottom>
      <diagonal/>
    </border>
    <border>
      <left style="thin">
        <color indexed="64"/>
      </left>
      <right/>
      <top style="thin">
        <color indexed="64"/>
      </top>
      <bottom style="thin">
        <color indexed="64"/>
      </bottom>
      <diagonal/>
    </border>
    <border>
      <left style="thick">
        <color indexed="64"/>
      </left>
      <right/>
      <top style="thin">
        <color indexed="64"/>
      </top>
      <bottom style="thin">
        <color indexed="64"/>
      </bottom>
      <diagonal/>
    </border>
    <border>
      <left style="thick">
        <color indexed="64"/>
      </left>
      <right/>
      <top style="thin">
        <color indexed="64"/>
      </top>
      <bottom style="thick">
        <color indexed="64"/>
      </bottom>
      <diagonal/>
    </border>
    <border>
      <left/>
      <right style="medium">
        <color indexed="64"/>
      </right>
      <top style="thick">
        <color indexed="64"/>
      </top>
      <bottom style="medium">
        <color indexed="64"/>
      </bottom>
      <diagonal/>
    </border>
    <border>
      <left/>
      <right style="medium">
        <color indexed="64"/>
      </right>
      <top style="thick">
        <color indexed="64"/>
      </top>
      <bottom style="thin">
        <color indexed="64"/>
      </bottom>
      <diagonal/>
    </border>
    <border>
      <left/>
      <right style="medium">
        <color indexed="64"/>
      </right>
      <top style="thin">
        <color indexed="64"/>
      </top>
      <bottom style="thick">
        <color indexed="64"/>
      </bottom>
      <diagonal/>
    </border>
  </borders>
  <cellStyleXfs count="3">
    <xf numFmtId="0" fontId="0" fillId="0" borderId="0"/>
    <xf numFmtId="0" fontId="1" fillId="0" borderId="0"/>
    <xf numFmtId="0" fontId="9" fillId="0" borderId="0"/>
  </cellStyleXfs>
  <cellXfs count="169">
    <xf numFmtId="0" fontId="0" fillId="0" borderId="0" xfId="0"/>
    <xf numFmtId="0" fontId="6" fillId="0" borderId="1" xfId="1" applyFont="1" applyBorder="1" applyAlignment="1">
      <alignment horizontal="center"/>
    </xf>
    <xf numFmtId="0" fontId="7" fillId="0" borderId="0" xfId="1" applyFont="1" applyAlignment="1">
      <alignment horizontal="center"/>
    </xf>
    <xf numFmtId="0" fontId="10" fillId="0" borderId="3" xfId="2" applyFont="1" applyBorder="1" applyAlignment="1">
      <alignment vertical="center"/>
    </xf>
    <xf numFmtId="0" fontId="2" fillId="0" borderId="3" xfId="1" applyFont="1" applyBorder="1" applyAlignment="1">
      <alignment horizontal="center"/>
    </xf>
    <xf numFmtId="0" fontId="1" fillId="0" borderId="0" xfId="1"/>
    <xf numFmtId="0" fontId="10" fillId="0" borderId="5" xfId="2" applyFont="1" applyBorder="1" applyAlignment="1">
      <alignment vertical="center"/>
    </xf>
    <xf numFmtId="0" fontId="2" fillId="0" borderId="5" xfId="1" applyFont="1" applyBorder="1" applyAlignment="1">
      <alignment horizontal="center"/>
    </xf>
    <xf numFmtId="0" fontId="2" fillId="0" borderId="5" xfId="1" applyFont="1" applyBorder="1"/>
    <xf numFmtId="0" fontId="10" fillId="0" borderId="5" xfId="2" applyFont="1" applyBorder="1" applyAlignment="1">
      <alignment horizontal="center" vertical="center"/>
    </xf>
    <xf numFmtId="0" fontId="2" fillId="0" borderId="4" xfId="1" applyFont="1" applyBorder="1" applyAlignment="1">
      <alignment horizontal="center"/>
    </xf>
    <xf numFmtId="0" fontId="2" fillId="0" borderId="7" xfId="1" applyFont="1" applyBorder="1"/>
    <xf numFmtId="0" fontId="2" fillId="0" borderId="7" xfId="1" applyFont="1" applyBorder="1" applyAlignment="1">
      <alignment horizontal="center"/>
    </xf>
    <xf numFmtId="0" fontId="12" fillId="0" borderId="8" xfId="1" applyFont="1" applyBorder="1"/>
    <xf numFmtId="0" fontId="1" fillId="0" borderId="9" xfId="1" applyBorder="1"/>
    <xf numFmtId="0" fontId="1" fillId="0" borderId="10" xfId="1" applyBorder="1"/>
    <xf numFmtId="0" fontId="10" fillId="0" borderId="3" xfId="2" applyFont="1" applyBorder="1" applyAlignment="1">
      <alignment horizontal="center" vertical="center"/>
    </xf>
    <xf numFmtId="0" fontId="0" fillId="0" borderId="14" xfId="0" applyBorder="1"/>
    <xf numFmtId="0" fontId="0" fillId="0" borderId="15" xfId="0" applyBorder="1"/>
    <xf numFmtId="0" fontId="0" fillId="0" borderId="16" xfId="0" applyBorder="1"/>
    <xf numFmtId="0" fontId="0" fillId="0" borderId="18" xfId="0" applyBorder="1"/>
    <xf numFmtId="0" fontId="0" fillId="0" borderId="19" xfId="0" applyBorder="1"/>
    <xf numFmtId="0" fontId="0" fillId="0" borderId="36" xfId="0" applyBorder="1"/>
    <xf numFmtId="0" fontId="0" fillId="0" borderId="38" xfId="0" applyBorder="1"/>
    <xf numFmtId="0" fontId="3" fillId="0" borderId="32" xfId="0" applyFont="1" applyBorder="1" applyAlignment="1">
      <alignment horizontal="right" vertical="center"/>
    </xf>
    <xf numFmtId="0" fontId="3" fillId="0" borderId="33" xfId="0" applyFont="1" applyBorder="1" applyAlignment="1">
      <alignment horizontal="right" vertical="center"/>
    </xf>
    <xf numFmtId="0" fontId="0" fillId="0" borderId="39" xfId="0" applyBorder="1"/>
    <xf numFmtId="0" fontId="0" fillId="0" borderId="40" xfId="0" applyBorder="1"/>
    <xf numFmtId="0" fontId="0" fillId="0" borderId="0" xfId="0" applyAlignment="1">
      <alignment horizontal="center" vertical="center"/>
    </xf>
    <xf numFmtId="0" fontId="10" fillId="0" borderId="3" xfId="0" applyFont="1" applyBorder="1" applyAlignment="1">
      <alignment vertical="center"/>
    </xf>
    <xf numFmtId="0" fontId="10" fillId="0" borderId="5" xfId="0" applyFont="1" applyBorder="1" applyAlignment="1">
      <alignment vertical="center"/>
    </xf>
    <xf numFmtId="0" fontId="11" fillId="0" borderId="3" xfId="0" applyFont="1" applyBorder="1" applyAlignment="1">
      <alignment horizontal="center"/>
    </xf>
    <xf numFmtId="0" fontId="10" fillId="0" borderId="3" xfId="0" applyFont="1" applyBorder="1" applyAlignment="1">
      <alignment horizontal="center"/>
    </xf>
    <xf numFmtId="0" fontId="11" fillId="0" borderId="5" xfId="0" applyFont="1" applyBorder="1" applyAlignment="1">
      <alignment horizontal="center"/>
    </xf>
    <xf numFmtId="0" fontId="10" fillId="0" borderId="5" xfId="0" applyFont="1" applyBorder="1" applyAlignment="1">
      <alignment horizontal="center"/>
    </xf>
    <xf numFmtId="0" fontId="10" fillId="0" borderId="5" xfId="0" applyFont="1" applyBorder="1" applyAlignment="1">
      <alignment horizontal="center" vertical="center"/>
    </xf>
    <xf numFmtId="0" fontId="6" fillId="0" borderId="1" xfId="1" applyFont="1" applyBorder="1" applyAlignment="1">
      <alignment horizontal="center" vertical="center"/>
    </xf>
    <xf numFmtId="0" fontId="7" fillId="0" borderId="1" xfId="1" applyFont="1" applyBorder="1" applyAlignment="1">
      <alignment horizontal="center" vertical="center" wrapText="1"/>
    </xf>
    <xf numFmtId="0" fontId="7" fillId="0" borderId="0" xfId="1" applyFont="1" applyAlignment="1">
      <alignment horizontal="center" vertical="center"/>
    </xf>
    <xf numFmtId="0" fontId="16" fillId="0" borderId="0" xfId="0" applyFont="1" applyAlignment="1">
      <alignment horizontal="left" vertical="center" indent="3"/>
    </xf>
    <xf numFmtId="0" fontId="15" fillId="0" borderId="0" xfId="0" applyFont="1" applyAlignment="1">
      <alignment horizontal="left" vertical="center" indent="3"/>
    </xf>
    <xf numFmtId="0" fontId="17" fillId="0" borderId="0" xfId="0" applyFont="1" applyAlignment="1">
      <alignment horizontal="left" vertical="center" indent="3"/>
    </xf>
    <xf numFmtId="0" fontId="0" fillId="0" borderId="24" xfId="0" applyBorder="1"/>
    <xf numFmtId="0" fontId="0" fillId="0" borderId="0" xfId="0" applyBorder="1"/>
    <xf numFmtId="0" fontId="22" fillId="0" borderId="0" xfId="0" applyFont="1"/>
    <xf numFmtId="0" fontId="14" fillId="3" borderId="37" xfId="0" applyFont="1" applyFill="1" applyBorder="1" applyAlignment="1">
      <alignment horizontal="center" vertical="center"/>
    </xf>
    <xf numFmtId="0" fontId="5" fillId="0" borderId="0" xfId="0" applyFont="1"/>
    <xf numFmtId="0" fontId="4" fillId="0" borderId="8" xfId="0" applyFont="1" applyBorder="1" applyAlignment="1"/>
    <xf numFmtId="0" fontId="5" fillId="0" borderId="9" xfId="0" applyFont="1" applyBorder="1" applyAlignment="1"/>
    <xf numFmtId="0" fontId="4" fillId="0" borderId="9" xfId="0" applyFont="1" applyBorder="1" applyAlignment="1"/>
    <xf numFmtId="0" fontId="5" fillId="0" borderId="9" xfId="0" applyFont="1" applyBorder="1"/>
    <xf numFmtId="0" fontId="4" fillId="0" borderId="9" xfId="0" applyFont="1" applyBorder="1"/>
    <xf numFmtId="0" fontId="4" fillId="0" borderId="10" xfId="0" applyFont="1" applyBorder="1"/>
    <xf numFmtId="0" fontId="24" fillId="0" borderId="40" xfId="0" applyFont="1" applyBorder="1"/>
    <xf numFmtId="0" fontId="24" fillId="0" borderId="42" xfId="0" applyFont="1" applyBorder="1"/>
    <xf numFmtId="0" fontId="5" fillId="0" borderId="15" xfId="0" applyFont="1" applyBorder="1"/>
    <xf numFmtId="0" fontId="5" fillId="0" borderId="43" xfId="0" applyFont="1" applyBorder="1"/>
    <xf numFmtId="0" fontId="5" fillId="0" borderId="57" xfId="0" applyFont="1" applyBorder="1"/>
    <xf numFmtId="0" fontId="21" fillId="0" borderId="59" xfId="0" applyFont="1" applyBorder="1"/>
    <xf numFmtId="0" fontId="5" fillId="0" borderId="60" xfId="0" applyFont="1" applyBorder="1"/>
    <xf numFmtId="0" fontId="24" fillId="0" borderId="59" xfId="0" applyFont="1" applyBorder="1"/>
    <xf numFmtId="0" fontId="21" fillId="0" borderId="60" xfId="0" applyFont="1" applyBorder="1"/>
    <xf numFmtId="0" fontId="5" fillId="0" borderId="61" xfId="0" applyFont="1" applyBorder="1"/>
    <xf numFmtId="0" fontId="5" fillId="0" borderId="62" xfId="0" applyFont="1" applyBorder="1"/>
    <xf numFmtId="0" fontId="0" fillId="0" borderId="66" xfId="0" applyBorder="1"/>
    <xf numFmtId="0" fontId="0" fillId="0" borderId="67" xfId="0" applyBorder="1"/>
    <xf numFmtId="0" fontId="3" fillId="0" borderId="68" xfId="0" applyFont="1" applyBorder="1" applyAlignment="1">
      <alignment horizontal="right" vertical="center"/>
    </xf>
    <xf numFmtId="0" fontId="3" fillId="0" borderId="58" xfId="0" applyFont="1" applyBorder="1" applyAlignment="1">
      <alignment horizontal="right" vertical="center"/>
    </xf>
    <xf numFmtId="0" fontId="0" fillId="0" borderId="60" xfId="0" applyBorder="1"/>
    <xf numFmtId="0" fontId="0" fillId="0" borderId="70" xfId="0" applyBorder="1"/>
    <xf numFmtId="0" fontId="0" fillId="0" borderId="48" xfId="0" applyBorder="1"/>
    <xf numFmtId="0" fontId="0" fillId="0" borderId="20" xfId="0" applyBorder="1"/>
    <xf numFmtId="0" fontId="0" fillId="0" borderId="62" xfId="0" applyBorder="1"/>
    <xf numFmtId="0" fontId="0" fillId="0" borderId="15" xfId="0" applyBorder="1" applyAlignment="1">
      <alignment vertical="center"/>
    </xf>
    <xf numFmtId="0" fontId="4" fillId="2" borderId="56" xfId="0" applyFont="1" applyFill="1" applyBorder="1"/>
    <xf numFmtId="0" fontId="4" fillId="2" borderId="20" xfId="0" applyFont="1" applyFill="1" applyBorder="1"/>
    <xf numFmtId="0" fontId="4" fillId="2" borderId="58" xfId="0" applyFont="1" applyFill="1" applyBorder="1"/>
    <xf numFmtId="0" fontId="0" fillId="0" borderId="15" xfId="0" applyBorder="1" applyAlignment="1">
      <alignment vertical="top"/>
    </xf>
    <xf numFmtId="0" fontId="25" fillId="2" borderId="63" xfId="0" applyFont="1" applyFill="1" applyBorder="1" applyAlignment="1">
      <alignment vertical="center" wrapText="1"/>
    </xf>
    <xf numFmtId="0" fontId="25" fillId="2" borderId="21" xfId="0" applyFont="1" applyFill="1" applyBorder="1" applyAlignment="1">
      <alignment vertical="center" wrapText="1"/>
    </xf>
    <xf numFmtId="0" fontId="25" fillId="2" borderId="22" xfId="0" applyFont="1" applyFill="1" applyBorder="1" applyAlignment="1">
      <alignment vertical="center" wrapText="1"/>
    </xf>
    <xf numFmtId="0" fontId="26" fillId="0" borderId="12" xfId="0" applyFont="1" applyBorder="1" applyAlignment="1">
      <alignment vertical="top" wrapText="1"/>
    </xf>
    <xf numFmtId="0" fontId="26" fillId="0" borderId="69" xfId="0" applyFont="1" applyBorder="1" applyAlignment="1">
      <alignment vertical="top" wrapText="1"/>
    </xf>
    <xf numFmtId="0" fontId="26" fillId="0" borderId="13" xfId="0" applyFont="1" applyBorder="1" applyAlignment="1">
      <alignment vertical="center" wrapText="1"/>
    </xf>
    <xf numFmtId="0" fontId="26" fillId="0" borderId="15" xfId="0" applyFont="1" applyBorder="1" applyAlignment="1">
      <alignment vertical="top" wrapText="1"/>
    </xf>
    <xf numFmtId="0" fontId="26" fillId="0" borderId="60" xfId="0" applyFont="1" applyBorder="1" applyAlignment="1">
      <alignment vertical="top" wrapText="1"/>
    </xf>
    <xf numFmtId="0" fontId="26" fillId="0" borderId="16" xfId="0" applyFont="1" applyBorder="1" applyAlignment="1">
      <alignment vertical="center" wrapText="1"/>
    </xf>
    <xf numFmtId="0" fontId="25" fillId="0" borderId="66" xfId="0" applyFont="1" applyBorder="1" applyAlignment="1">
      <alignment vertical="top" wrapText="1"/>
    </xf>
    <xf numFmtId="0" fontId="27" fillId="0" borderId="16" xfId="0" applyFont="1" applyBorder="1"/>
    <xf numFmtId="0" fontId="27" fillId="0" borderId="66" xfId="0" applyFont="1" applyBorder="1"/>
    <xf numFmtId="0" fontId="27" fillId="0" borderId="15" xfId="0" applyFont="1" applyBorder="1"/>
    <xf numFmtId="0" fontId="27" fillId="0" borderId="60" xfId="0" applyFont="1" applyBorder="1"/>
    <xf numFmtId="0" fontId="26" fillId="0" borderId="66" xfId="0" applyFont="1" applyBorder="1" applyAlignment="1">
      <alignment vertical="top" wrapText="1"/>
    </xf>
    <xf numFmtId="0" fontId="0" fillId="0" borderId="40" xfId="0" applyBorder="1" applyAlignment="1">
      <alignment vertical="top"/>
    </xf>
    <xf numFmtId="0" fontId="0" fillId="0" borderId="14" xfId="0" applyBorder="1" applyAlignment="1">
      <alignment vertical="top"/>
    </xf>
    <xf numFmtId="0" fontId="0" fillId="0" borderId="16" xfId="0" applyBorder="1" applyAlignment="1">
      <alignment vertical="top"/>
    </xf>
    <xf numFmtId="0" fontId="0" fillId="0" borderId="39" xfId="0" applyBorder="1" applyAlignment="1">
      <alignment vertical="top"/>
    </xf>
    <xf numFmtId="0" fontId="14" fillId="3" borderId="20" xfId="0" applyFont="1" applyFill="1" applyBorder="1" applyAlignment="1">
      <alignment horizontal="center" vertical="center" wrapText="1"/>
    </xf>
    <xf numFmtId="0" fontId="14" fillId="3" borderId="35" xfId="0" applyFont="1" applyFill="1" applyBorder="1" applyAlignment="1">
      <alignment horizontal="center" vertical="center"/>
    </xf>
    <xf numFmtId="0" fontId="14" fillId="3" borderId="20" xfId="0" applyFont="1" applyFill="1" applyBorder="1" applyAlignment="1">
      <alignment horizontal="center" vertical="center"/>
    </xf>
    <xf numFmtId="0" fontId="26" fillId="0" borderId="65" xfId="0" applyFont="1" applyBorder="1" applyAlignment="1">
      <alignment vertical="top" wrapText="1"/>
    </xf>
    <xf numFmtId="0" fontId="26" fillId="0" borderId="65" xfId="0" applyFont="1" applyBorder="1" applyAlignment="1">
      <alignment vertical="top"/>
    </xf>
    <xf numFmtId="0" fontId="26" fillId="0" borderId="60" xfId="0" applyFont="1" applyBorder="1" applyAlignment="1">
      <alignment vertical="top"/>
    </xf>
    <xf numFmtId="0" fontId="26" fillId="0" borderId="16" xfId="0" applyFont="1" applyBorder="1"/>
    <xf numFmtId="0" fontId="26" fillId="0" borderId="15" xfId="0" applyFont="1" applyBorder="1" applyAlignment="1">
      <alignment vertical="top"/>
    </xf>
    <xf numFmtId="0" fontId="26" fillId="0" borderId="64" xfId="0" applyFont="1" applyBorder="1" applyAlignment="1">
      <alignment vertical="top" wrapText="1"/>
    </xf>
    <xf numFmtId="0" fontId="28" fillId="0" borderId="39" xfId="0" applyFont="1" applyBorder="1" applyAlignment="1">
      <alignment vertical="top"/>
    </xf>
    <xf numFmtId="0" fontId="28" fillId="0" borderId="40" xfId="0" applyFont="1" applyBorder="1" applyAlignment="1">
      <alignment vertical="top"/>
    </xf>
    <xf numFmtId="0" fontId="28" fillId="0" borderId="40" xfId="0" applyFont="1" applyBorder="1" applyAlignment="1">
      <alignment vertical="top" wrapText="1"/>
    </xf>
    <xf numFmtId="0" fontId="29" fillId="0" borderId="40" xfId="0" applyFont="1" applyBorder="1" applyAlignment="1">
      <alignment vertical="top" wrapText="1"/>
    </xf>
    <xf numFmtId="14" fontId="30" fillId="0" borderId="40" xfId="0" applyNumberFormat="1" applyFont="1" applyBorder="1" applyAlignment="1">
      <alignment vertical="top"/>
    </xf>
    <xf numFmtId="0" fontId="30" fillId="0" borderId="40" xfId="0" applyFont="1" applyBorder="1" applyAlignment="1">
      <alignment vertical="top"/>
    </xf>
    <xf numFmtId="0" fontId="26" fillId="0" borderId="41" xfId="0" applyFont="1" applyBorder="1" applyAlignment="1">
      <alignment vertical="top"/>
    </xf>
    <xf numFmtId="0" fontId="26" fillId="0" borderId="40" xfId="0" applyFont="1" applyBorder="1" applyAlignment="1">
      <alignment vertical="top"/>
    </xf>
    <xf numFmtId="0" fontId="26" fillId="0" borderId="14" xfId="0" applyFont="1" applyBorder="1" applyAlignment="1">
      <alignment vertical="top"/>
    </xf>
    <xf numFmtId="0" fontId="26" fillId="0" borderId="16" xfId="0" applyFont="1" applyBorder="1" applyAlignment="1">
      <alignment vertical="top"/>
    </xf>
    <xf numFmtId="0" fontId="26" fillId="0" borderId="39" xfId="0" applyFont="1" applyBorder="1" applyAlignment="1">
      <alignment vertical="top"/>
    </xf>
    <xf numFmtId="0" fontId="18" fillId="0" borderId="47" xfId="0" applyFont="1" applyBorder="1" applyAlignment="1">
      <alignment horizontal="right"/>
    </xf>
    <xf numFmtId="0" fontId="18" fillId="0" borderId="48" xfId="0" applyFont="1" applyBorder="1" applyAlignment="1">
      <alignment horizontal="right"/>
    </xf>
    <xf numFmtId="0" fontId="18" fillId="0" borderId="37" xfId="0" applyFont="1" applyBorder="1" applyAlignment="1">
      <alignment horizontal="right"/>
    </xf>
    <xf numFmtId="0" fontId="18" fillId="0" borderId="20" xfId="0" applyFont="1" applyBorder="1" applyAlignment="1">
      <alignment horizontal="right"/>
    </xf>
    <xf numFmtId="0" fontId="18" fillId="0" borderId="34" xfId="0" applyFont="1" applyBorder="1" applyAlignment="1">
      <alignment horizontal="right"/>
    </xf>
    <xf numFmtId="0" fontId="18" fillId="0" borderId="35" xfId="0" applyFont="1" applyBorder="1" applyAlignment="1">
      <alignment horizontal="right"/>
    </xf>
    <xf numFmtId="0" fontId="20" fillId="0" borderId="35" xfId="0" applyFont="1" applyBorder="1" applyAlignment="1">
      <alignment horizontal="center"/>
    </xf>
    <xf numFmtId="0" fontId="0" fillId="0" borderId="35" xfId="0" applyBorder="1" applyAlignment="1">
      <alignment horizontal="center"/>
    </xf>
    <xf numFmtId="0" fontId="0" fillId="0" borderId="36" xfId="0" applyBorder="1" applyAlignment="1">
      <alignment horizontal="center"/>
    </xf>
    <xf numFmtId="0" fontId="0" fillId="0" borderId="48" xfId="0" applyBorder="1" applyAlignment="1">
      <alignment horizontal="center"/>
    </xf>
    <xf numFmtId="0" fontId="0" fillId="0" borderId="49" xfId="0" applyBorder="1" applyAlignment="1">
      <alignment horizontal="center"/>
    </xf>
    <xf numFmtId="0" fontId="0" fillId="0" borderId="20" xfId="0" applyBorder="1" applyAlignment="1">
      <alignment horizontal="center"/>
    </xf>
    <xf numFmtId="0" fontId="0" fillId="0" borderId="38" xfId="0" applyBorder="1" applyAlignment="1">
      <alignment horizontal="center"/>
    </xf>
    <xf numFmtId="0" fontId="19" fillId="0" borderId="29" xfId="0" applyFont="1" applyBorder="1" applyAlignment="1">
      <alignment horizontal="center" vertical="center"/>
    </xf>
    <xf numFmtId="0" fontId="19" fillId="0" borderId="24" xfId="0" applyFont="1" applyBorder="1" applyAlignment="1">
      <alignment horizontal="center" vertical="center"/>
    </xf>
    <xf numFmtId="0" fontId="19" fillId="0" borderId="30" xfId="0" applyFont="1" applyBorder="1" applyAlignment="1">
      <alignment horizontal="center" vertical="center"/>
    </xf>
    <xf numFmtId="0" fontId="19" fillId="0" borderId="31" xfId="0" applyFont="1" applyBorder="1" applyAlignment="1">
      <alignment horizontal="center" vertical="center"/>
    </xf>
    <xf numFmtId="0" fontId="0" fillId="0" borderId="23" xfId="0" applyBorder="1" applyAlignment="1">
      <alignment horizontal="center"/>
    </xf>
    <xf numFmtId="0" fontId="0" fillId="0" borderId="24" xfId="0" applyBorder="1" applyAlignment="1">
      <alignment horizontal="center"/>
    </xf>
    <xf numFmtId="0" fontId="0" fillId="0" borderId="25" xfId="0" applyBorder="1" applyAlignment="1">
      <alignment horizontal="center"/>
    </xf>
    <xf numFmtId="0" fontId="0" fillId="0" borderId="26" xfId="0" applyBorder="1" applyAlignment="1">
      <alignment horizontal="center"/>
    </xf>
    <xf numFmtId="0" fontId="0" fillId="0" borderId="27" xfId="0" applyBorder="1" applyAlignment="1">
      <alignment horizontal="center"/>
    </xf>
    <xf numFmtId="0" fontId="0" fillId="0" borderId="28" xfId="0" applyBorder="1" applyAlignment="1">
      <alignment horizontal="center"/>
    </xf>
    <xf numFmtId="0" fontId="14" fillId="3" borderId="35" xfId="0" applyFont="1" applyFill="1" applyBorder="1" applyAlignment="1">
      <alignment horizontal="center" vertical="center" wrapText="1"/>
    </xf>
    <xf numFmtId="0" fontId="14" fillId="3" borderId="20" xfId="0" applyFont="1" applyFill="1" applyBorder="1" applyAlignment="1">
      <alignment horizontal="center" vertical="center" wrapText="1"/>
    </xf>
    <xf numFmtId="0" fontId="14" fillId="3" borderId="36" xfId="0" applyFont="1" applyFill="1" applyBorder="1" applyAlignment="1">
      <alignment horizontal="center" vertical="center" wrapText="1"/>
    </xf>
    <xf numFmtId="0" fontId="14" fillId="3" borderId="38" xfId="0" applyFont="1" applyFill="1" applyBorder="1" applyAlignment="1">
      <alignment horizontal="center" vertical="center" wrapText="1"/>
    </xf>
    <xf numFmtId="0" fontId="23" fillId="3" borderId="34" xfId="0" applyFont="1" applyFill="1" applyBorder="1" applyAlignment="1">
      <alignment horizontal="center" vertical="top" wrapText="1"/>
    </xf>
    <xf numFmtId="0" fontId="23" fillId="3" borderId="35" xfId="0" applyFont="1" applyFill="1" applyBorder="1" applyAlignment="1">
      <alignment horizontal="center" vertical="top" wrapText="1"/>
    </xf>
    <xf numFmtId="0" fontId="14" fillId="3" borderId="35" xfId="0" applyFont="1" applyFill="1" applyBorder="1" applyAlignment="1">
      <alignment horizontal="center" vertical="center"/>
    </xf>
    <xf numFmtId="0" fontId="14" fillId="3" borderId="20" xfId="0" applyFont="1" applyFill="1" applyBorder="1" applyAlignment="1">
      <alignment horizontal="center" vertical="center"/>
    </xf>
    <xf numFmtId="0" fontId="0" fillId="0" borderId="44" xfId="0" applyBorder="1" applyAlignment="1">
      <alignment horizontal="center"/>
    </xf>
    <xf numFmtId="0" fontId="0" fillId="0" borderId="55" xfId="0" applyBorder="1" applyAlignment="1">
      <alignment horizontal="center"/>
    </xf>
    <xf numFmtId="0" fontId="0" fillId="0" borderId="53" xfId="0" applyBorder="1" applyAlignment="1">
      <alignment horizontal="center"/>
    </xf>
    <xf numFmtId="0" fontId="5" fillId="0" borderId="54" xfId="0" applyFont="1" applyBorder="1" applyAlignment="1">
      <alignment horizontal="center"/>
    </xf>
    <xf numFmtId="0" fontId="5" fillId="0" borderId="24" xfId="0" applyFont="1" applyBorder="1" applyAlignment="1">
      <alignment horizontal="center"/>
    </xf>
    <xf numFmtId="0" fontId="5" fillId="0" borderId="25" xfId="0" applyFont="1" applyBorder="1" applyAlignment="1">
      <alignment horizontal="center"/>
    </xf>
    <xf numFmtId="0" fontId="4" fillId="0" borderId="11" xfId="0" applyFont="1" applyBorder="1" applyAlignment="1">
      <alignment horizontal="center" vertical="center"/>
    </xf>
    <xf numFmtId="0" fontId="4" fillId="0" borderId="12" xfId="0" applyFont="1" applyBorder="1" applyAlignment="1">
      <alignment horizontal="center" vertical="center"/>
    </xf>
    <xf numFmtId="0" fontId="0" fillId="0" borderId="52" xfId="0" applyBorder="1" applyAlignment="1">
      <alignment horizontal="center"/>
    </xf>
    <xf numFmtId="0" fontId="0" fillId="0" borderId="45" xfId="0" applyBorder="1" applyAlignment="1">
      <alignment horizontal="center"/>
    </xf>
    <xf numFmtId="0" fontId="0" fillId="0" borderId="46" xfId="0" applyBorder="1" applyAlignment="1">
      <alignment horizontal="center"/>
    </xf>
    <xf numFmtId="0" fontId="4" fillId="0" borderId="14" xfId="0" applyFont="1" applyBorder="1" applyAlignment="1">
      <alignment horizontal="center" vertical="center"/>
    </xf>
    <xf numFmtId="0" fontId="4" fillId="0" borderId="15" xfId="0" applyFont="1" applyBorder="1" applyAlignment="1">
      <alignment horizontal="center" vertical="center"/>
    </xf>
    <xf numFmtId="0" fontId="0" fillId="0" borderId="43" xfId="0" applyBorder="1" applyAlignment="1">
      <alignment horizontal="center"/>
    </xf>
    <xf numFmtId="0" fontId="0" fillId="0" borderId="50" xfId="0" applyBorder="1" applyAlignment="1">
      <alignment horizontal="center"/>
    </xf>
    <xf numFmtId="0" fontId="0" fillId="0" borderId="51" xfId="0" applyBorder="1" applyAlignment="1">
      <alignment horizontal="center"/>
    </xf>
    <xf numFmtId="0" fontId="4" fillId="0" borderId="17" xfId="0" applyFont="1" applyBorder="1" applyAlignment="1">
      <alignment horizontal="center" vertical="center"/>
    </xf>
    <xf numFmtId="0" fontId="4" fillId="0" borderId="18" xfId="0" applyFont="1" applyBorder="1" applyAlignment="1">
      <alignment horizontal="center" vertical="center"/>
    </xf>
    <xf numFmtId="0" fontId="2" fillId="0" borderId="12" xfId="0" applyFont="1" applyBorder="1" applyAlignment="1">
      <alignment horizontal="center" vertical="center"/>
    </xf>
    <xf numFmtId="0" fontId="8" fillId="0" borderId="2" xfId="1" applyFont="1" applyBorder="1" applyAlignment="1">
      <alignment horizontal="center" vertical="center" textRotation="255"/>
    </xf>
    <xf numFmtId="0" fontId="8" fillId="0" borderId="6" xfId="1" applyFont="1" applyBorder="1" applyAlignment="1">
      <alignment horizontal="center" vertical="center" textRotation="255"/>
    </xf>
  </cellXfs>
  <cellStyles count="3">
    <cellStyle name="Normal" xfId="0" builtinId="0"/>
    <cellStyle name="Normal 2" xfId="1" xr:uid="{00000000-0005-0000-0000-000001000000}"/>
    <cellStyle name="Normal 3" xfId="2" xr:uid="{00000000-0005-0000-0000-000002000000}"/>
  </cellStyles>
  <dxfs count="2">
    <dxf>
      <font>
        <b/>
        <i val="0"/>
        <color theme="0"/>
      </font>
      <fill>
        <patternFill patternType="solid">
          <fgColor rgb="FFFCE8B2"/>
          <bgColor rgb="FFFFC000"/>
        </patternFill>
      </fill>
      <border>
        <left/>
        <right/>
        <top/>
        <bottom/>
      </border>
    </dxf>
    <dxf>
      <font>
        <b/>
        <i val="0"/>
        <color theme="0"/>
      </font>
      <fill>
        <patternFill patternType="solid">
          <fgColor rgb="FFF4C7C3"/>
          <bgColor rgb="FFFF000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0</xdr:col>
      <xdr:colOff>0</xdr:colOff>
      <xdr:row>4</xdr:row>
      <xdr:rowOff>9525</xdr:rowOff>
    </xdr:from>
    <xdr:to>
      <xdr:col>22</xdr:col>
      <xdr:colOff>590550</xdr:colOff>
      <xdr:row>35</xdr:row>
      <xdr:rowOff>57150</xdr:rowOff>
    </xdr:to>
    <xdr:sp macro="" textlink="">
      <xdr:nvSpPr>
        <xdr:cNvPr id="2" name="TextBox 1">
          <a:extLst>
            <a:ext uri="{FF2B5EF4-FFF2-40B4-BE49-F238E27FC236}">
              <a16:creationId xmlns:a16="http://schemas.microsoft.com/office/drawing/2014/main" id="{3542E2A1-6916-41F0-8C8E-53D32EE2A2DE}"/>
            </a:ext>
          </a:extLst>
        </xdr:cNvPr>
        <xdr:cNvSpPr txBox="1"/>
      </xdr:nvSpPr>
      <xdr:spPr>
        <a:xfrm>
          <a:off x="0" y="1076325"/>
          <a:ext cx="14001750" cy="5953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a:t>This is the assignment workbook for Assignment 1</a:t>
          </a:r>
        </a:p>
        <a:p>
          <a:endParaRPr lang="en-GB" sz="1400"/>
        </a:p>
        <a:p>
          <a:r>
            <a:rPr lang="en-GB" sz="1400" baseline="0"/>
            <a:t>This workbook contains the following worksheets: </a:t>
          </a:r>
        </a:p>
        <a:p>
          <a:endParaRPr lang="en-GB" sz="1400" baseline="0"/>
        </a:p>
        <a:p>
          <a:r>
            <a:rPr lang="en-GB" sz="1400" baseline="0"/>
            <a:t>1 - H&amp;S Risk Assessment</a:t>
          </a:r>
        </a:p>
        <a:p>
          <a:r>
            <a:rPr lang="en-GB" sz="1400" baseline="0"/>
            <a:t>2 - Inventory Log</a:t>
          </a:r>
        </a:p>
        <a:p>
          <a:r>
            <a:rPr lang="en-GB" sz="1400" baseline="0"/>
            <a:t>3 - Security Risk Assessment</a:t>
          </a:r>
        </a:p>
        <a:p>
          <a:r>
            <a:rPr lang="en-GB" sz="1400" baseline="0"/>
            <a:t>4 - Software Install Log</a:t>
          </a:r>
        </a:p>
        <a:p>
          <a:endParaRPr lang="en-GB" sz="1400"/>
        </a:p>
        <a:p>
          <a:r>
            <a:rPr lang="en-GB" sz="1400"/>
            <a:t>On completion of Assignment 1 all worksheets should be completed.</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9524</xdr:colOff>
      <xdr:row>4</xdr:row>
      <xdr:rowOff>0</xdr:rowOff>
    </xdr:from>
    <xdr:to>
      <xdr:col>5</xdr:col>
      <xdr:colOff>903514</xdr:colOff>
      <xdr:row>4</xdr:row>
      <xdr:rowOff>1800226</xdr:rowOff>
    </xdr:to>
    <xdr:sp macro="" textlink="">
      <xdr:nvSpPr>
        <xdr:cNvPr id="6" name="TextBox 5">
          <a:extLst>
            <a:ext uri="{FF2B5EF4-FFF2-40B4-BE49-F238E27FC236}">
              <a16:creationId xmlns:a16="http://schemas.microsoft.com/office/drawing/2014/main" id="{411F4F14-BE31-4992-904A-BA377E6A7377}"/>
            </a:ext>
          </a:extLst>
        </xdr:cNvPr>
        <xdr:cNvSpPr txBox="1"/>
      </xdr:nvSpPr>
      <xdr:spPr>
        <a:xfrm>
          <a:off x="2273753" y="3788229"/>
          <a:ext cx="3702504" cy="18002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Notes:</a:t>
          </a:r>
        </a:p>
        <a:p>
          <a:r>
            <a:rPr lang="en-GB" sz="1100"/>
            <a:t>All software is up to date including</a:t>
          </a:r>
          <a:r>
            <a:rPr lang="en-GB" sz="1100" baseline="0"/>
            <a:t> AV and Operating System</a:t>
          </a:r>
        </a:p>
        <a:p>
          <a:endParaRPr lang="en-GB" sz="1100" baseline="0"/>
        </a:p>
        <a:p>
          <a:r>
            <a:rPr lang="en-GB" sz="1100" baseline="0"/>
            <a:t>USB ports are live allowing USB drives etc to be plugged in that could allow viruses to be maliciously added or potential for an attacker to compromise the system</a:t>
          </a:r>
        </a:p>
        <a:p>
          <a:endParaRPr lang="en-GB" sz="1100" baseline="0"/>
        </a:p>
        <a:p>
          <a:r>
            <a:rPr lang="en-GB" sz="1100" baseline="0"/>
            <a:t>One server is installed for all roles with no duplicate</a:t>
          </a:r>
        </a:p>
        <a:p>
          <a:endParaRPr lang="en-GB" sz="1100"/>
        </a:p>
      </xdr:txBody>
    </xdr:sp>
    <xdr:clientData/>
  </xdr:twoCellAnchor>
  <xdr:twoCellAnchor>
    <xdr:from>
      <xdr:col>2</xdr:col>
      <xdr:colOff>19050</xdr:colOff>
      <xdr:row>5</xdr:row>
      <xdr:rowOff>19050</xdr:rowOff>
    </xdr:from>
    <xdr:to>
      <xdr:col>5</xdr:col>
      <xdr:colOff>870858</xdr:colOff>
      <xdr:row>5</xdr:row>
      <xdr:rowOff>1724025</xdr:rowOff>
    </xdr:to>
    <xdr:sp macro="" textlink="">
      <xdr:nvSpPr>
        <xdr:cNvPr id="7" name="TextBox 6">
          <a:extLst>
            <a:ext uri="{FF2B5EF4-FFF2-40B4-BE49-F238E27FC236}">
              <a16:creationId xmlns:a16="http://schemas.microsoft.com/office/drawing/2014/main" id="{FB757835-433A-448A-B377-87BF151EC81C}"/>
            </a:ext>
          </a:extLst>
        </xdr:cNvPr>
        <xdr:cNvSpPr txBox="1"/>
      </xdr:nvSpPr>
      <xdr:spPr>
        <a:xfrm>
          <a:off x="2283279" y="5614307"/>
          <a:ext cx="3660322" cy="1704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Notes:</a:t>
          </a:r>
        </a:p>
        <a:p>
          <a:r>
            <a:rPr lang="en-GB" sz="1100"/>
            <a:t>Disable</a:t>
          </a:r>
          <a:r>
            <a:rPr lang="en-GB" sz="1100" baseline="0"/>
            <a:t> Server USB ports to prevent unauthorised access</a:t>
          </a:r>
        </a:p>
        <a:p>
          <a:r>
            <a:rPr lang="en-GB" sz="1100" baseline="0"/>
            <a:t>Install a second server and configure as a cluster to remove single point of failure.</a:t>
          </a:r>
          <a:endParaRPr lang="en-GB" sz="1100"/>
        </a:p>
      </xdr:txBody>
    </xdr:sp>
    <xdr:clientData/>
  </xdr:twoCellAnchor>
  <xdr:twoCellAnchor>
    <xdr:from>
      <xdr:col>9</xdr:col>
      <xdr:colOff>9525</xdr:colOff>
      <xdr:row>4</xdr:row>
      <xdr:rowOff>0</xdr:rowOff>
    </xdr:from>
    <xdr:to>
      <xdr:col>12</xdr:col>
      <xdr:colOff>849086</xdr:colOff>
      <xdr:row>4</xdr:row>
      <xdr:rowOff>1800226</xdr:rowOff>
    </xdr:to>
    <xdr:sp macro="" textlink="">
      <xdr:nvSpPr>
        <xdr:cNvPr id="30" name="TextBox 29">
          <a:extLst>
            <a:ext uri="{FF2B5EF4-FFF2-40B4-BE49-F238E27FC236}">
              <a16:creationId xmlns:a16="http://schemas.microsoft.com/office/drawing/2014/main" id="{D9ADCDB6-8CFE-46F5-81BB-5C200E810ED2}"/>
            </a:ext>
          </a:extLst>
        </xdr:cNvPr>
        <xdr:cNvSpPr txBox="1"/>
      </xdr:nvSpPr>
      <xdr:spPr>
        <a:xfrm>
          <a:off x="8533039" y="3788229"/>
          <a:ext cx="3648076" cy="18002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Notes:</a:t>
          </a:r>
        </a:p>
        <a:p>
          <a:r>
            <a:rPr lang="en-GB" sz="1100"/>
            <a:t>All Software is up to date</a:t>
          </a:r>
          <a:r>
            <a:rPr lang="en-GB" sz="1100" baseline="0"/>
            <a:t> including AV and operating system, the Antivirus is set to automatically update the virus definition files on a daily basis.</a:t>
          </a:r>
          <a:endParaRPr lang="en-GB" sz="1100"/>
        </a:p>
      </xdr:txBody>
    </xdr:sp>
    <xdr:clientData/>
  </xdr:twoCellAnchor>
  <xdr:twoCellAnchor>
    <xdr:from>
      <xdr:col>9</xdr:col>
      <xdr:colOff>19049</xdr:colOff>
      <xdr:row>5</xdr:row>
      <xdr:rowOff>19050</xdr:rowOff>
    </xdr:from>
    <xdr:to>
      <xdr:col>12</xdr:col>
      <xdr:colOff>892628</xdr:colOff>
      <xdr:row>5</xdr:row>
      <xdr:rowOff>1724025</xdr:rowOff>
    </xdr:to>
    <xdr:sp macro="" textlink="">
      <xdr:nvSpPr>
        <xdr:cNvPr id="31" name="TextBox 30">
          <a:extLst>
            <a:ext uri="{FF2B5EF4-FFF2-40B4-BE49-F238E27FC236}">
              <a16:creationId xmlns:a16="http://schemas.microsoft.com/office/drawing/2014/main" id="{2BE4AD25-6199-40A1-8A72-594199318710}"/>
            </a:ext>
          </a:extLst>
        </xdr:cNvPr>
        <xdr:cNvSpPr txBox="1"/>
      </xdr:nvSpPr>
      <xdr:spPr>
        <a:xfrm>
          <a:off x="8542563" y="5614307"/>
          <a:ext cx="3682094" cy="1704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Notes:</a:t>
          </a:r>
        </a:p>
        <a:p>
          <a:r>
            <a:rPr lang="en-GB" sz="1100"/>
            <a:t>It is recomended that the updates are set to automatic</a:t>
          </a:r>
          <a:r>
            <a:rPr lang="en-GB" sz="1100" baseline="0"/>
            <a:t> and that this is done via a group policy to stop the users turning this feature off again.</a:t>
          </a:r>
        </a:p>
        <a:p>
          <a:endParaRPr lang="en-GB" sz="1100" baseline="0"/>
        </a:p>
        <a:p>
          <a:endParaRPr lang="en-GB" sz="1100"/>
        </a:p>
      </xdr:txBody>
    </xdr:sp>
    <xdr:clientData/>
  </xdr:twoCellAnchor>
  <xdr:twoCellAnchor>
    <xdr:from>
      <xdr:col>16</xdr:col>
      <xdr:colOff>9524</xdr:colOff>
      <xdr:row>4</xdr:row>
      <xdr:rowOff>0</xdr:rowOff>
    </xdr:from>
    <xdr:to>
      <xdr:col>19</xdr:col>
      <xdr:colOff>892629</xdr:colOff>
      <xdr:row>4</xdr:row>
      <xdr:rowOff>1800226</xdr:rowOff>
    </xdr:to>
    <xdr:sp macro="" textlink="">
      <xdr:nvSpPr>
        <xdr:cNvPr id="34" name="TextBox 33">
          <a:extLst>
            <a:ext uri="{FF2B5EF4-FFF2-40B4-BE49-F238E27FC236}">
              <a16:creationId xmlns:a16="http://schemas.microsoft.com/office/drawing/2014/main" id="{88225C6A-63E1-4B6A-8FFE-8F47F4DC88FB}"/>
            </a:ext>
          </a:extLst>
        </xdr:cNvPr>
        <xdr:cNvSpPr txBox="1"/>
      </xdr:nvSpPr>
      <xdr:spPr>
        <a:xfrm>
          <a:off x="14803210" y="3788229"/>
          <a:ext cx="3691619" cy="18002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Notes:</a:t>
          </a:r>
        </a:p>
        <a:p>
          <a:r>
            <a:rPr lang="en-GB" sz="1100"/>
            <a:t>All</a:t>
          </a:r>
          <a:r>
            <a:rPr lang="en-GB" sz="1100" baseline="0"/>
            <a:t> software is up to date including Antivirus software. because of the mobile OS the in built "Store" will flag  to the user when the user needs to update the installed software (Apps)</a:t>
          </a:r>
          <a:endParaRPr lang="en-GB" sz="1100"/>
        </a:p>
      </xdr:txBody>
    </xdr:sp>
    <xdr:clientData/>
  </xdr:twoCellAnchor>
  <xdr:twoCellAnchor>
    <xdr:from>
      <xdr:col>16</xdr:col>
      <xdr:colOff>19050</xdr:colOff>
      <xdr:row>5</xdr:row>
      <xdr:rowOff>19050</xdr:rowOff>
    </xdr:from>
    <xdr:to>
      <xdr:col>19</xdr:col>
      <xdr:colOff>870858</xdr:colOff>
      <xdr:row>5</xdr:row>
      <xdr:rowOff>1724025</xdr:rowOff>
    </xdr:to>
    <xdr:sp macro="" textlink="">
      <xdr:nvSpPr>
        <xdr:cNvPr id="35" name="TextBox 34">
          <a:extLst>
            <a:ext uri="{FF2B5EF4-FFF2-40B4-BE49-F238E27FC236}">
              <a16:creationId xmlns:a16="http://schemas.microsoft.com/office/drawing/2014/main" id="{7A990186-5FB8-4964-94B5-4AA7C54212E5}"/>
            </a:ext>
          </a:extLst>
        </xdr:cNvPr>
        <xdr:cNvSpPr txBox="1"/>
      </xdr:nvSpPr>
      <xdr:spPr>
        <a:xfrm>
          <a:off x="14812736" y="5614307"/>
          <a:ext cx="3660322" cy="1704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Notes:</a:t>
          </a:r>
        </a:p>
        <a:p>
          <a:r>
            <a:rPr lang="en-GB" sz="1100"/>
            <a:t>An "end point" should installed such as Microsoft intune</a:t>
          </a:r>
          <a:r>
            <a:rPr lang="en-GB" sz="1100" baseline="0"/>
            <a:t> to ensure that mobile devices are better secured.</a:t>
          </a:r>
        </a:p>
        <a:p>
          <a:r>
            <a:rPr lang="en-GB" sz="1100" baseline="0"/>
            <a:t>This is an additional element to the Office 365 subscription.</a:t>
          </a:r>
          <a:endParaRPr lang="en-GB" sz="1100"/>
        </a:p>
      </xdr:txBody>
    </xdr:sp>
    <xdr:clientData/>
  </xdr:twoCellAnchor>
  <xdr:twoCellAnchor>
    <xdr:from>
      <xdr:col>2</xdr:col>
      <xdr:colOff>0</xdr:colOff>
      <xdr:row>3</xdr:row>
      <xdr:rowOff>0</xdr:rowOff>
    </xdr:from>
    <xdr:to>
      <xdr:col>5</xdr:col>
      <xdr:colOff>927736</xdr:colOff>
      <xdr:row>4</xdr:row>
      <xdr:rowOff>10885</xdr:rowOff>
    </xdr:to>
    <xdr:sp macro="" textlink="">
      <xdr:nvSpPr>
        <xdr:cNvPr id="14" name="TextBox 13">
          <a:extLst>
            <a:ext uri="{FF2B5EF4-FFF2-40B4-BE49-F238E27FC236}">
              <a16:creationId xmlns:a16="http://schemas.microsoft.com/office/drawing/2014/main" id="{E0228C2D-CBCF-4DC3-86B9-80172AA987C6}"/>
            </a:ext>
          </a:extLst>
        </xdr:cNvPr>
        <xdr:cNvSpPr txBox="1"/>
      </xdr:nvSpPr>
      <xdr:spPr>
        <a:xfrm>
          <a:off x="2079171" y="2046514"/>
          <a:ext cx="3736251" cy="170905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Notes:</a:t>
          </a:r>
        </a:p>
        <a:p>
          <a:r>
            <a:rPr lang="en-GB" sz="1100"/>
            <a:t>All Drivers were automatically</a:t>
          </a:r>
          <a:r>
            <a:rPr lang="en-GB" sz="1100" baseline="0"/>
            <a:t> installed as part of the Windows Installation</a:t>
          </a:r>
        </a:p>
        <a:p>
          <a:r>
            <a:rPr lang="en-GB" sz="1100" baseline="0"/>
            <a:t>Server Roles - ADDS / DNS / DHCP added to server</a:t>
          </a:r>
        </a:p>
        <a:p>
          <a:r>
            <a:rPr lang="en-GB" sz="1100" baseline="0"/>
            <a:t>Local Admin Details: Administrator / ionsiTyp!4</a:t>
          </a:r>
        </a:p>
        <a:p>
          <a:endParaRPr lang="en-GB" sz="1100" baseline="0"/>
        </a:p>
        <a:p>
          <a:endParaRPr lang="en-GB" sz="1100" baseline="0"/>
        </a:p>
        <a:p>
          <a:endParaRPr lang="en-GB" sz="1100"/>
        </a:p>
      </xdr:txBody>
    </xdr:sp>
    <xdr:clientData/>
  </xdr:twoCellAnchor>
  <xdr:twoCellAnchor>
    <xdr:from>
      <xdr:col>2</xdr:col>
      <xdr:colOff>10886</xdr:colOff>
      <xdr:row>2</xdr:row>
      <xdr:rowOff>10886</xdr:rowOff>
    </xdr:from>
    <xdr:to>
      <xdr:col>5</xdr:col>
      <xdr:colOff>903514</xdr:colOff>
      <xdr:row>3</xdr:row>
      <xdr:rowOff>1</xdr:rowOff>
    </xdr:to>
    <xdr:sp macro="" textlink="">
      <xdr:nvSpPr>
        <xdr:cNvPr id="16" name="TextBox 15">
          <a:extLst>
            <a:ext uri="{FF2B5EF4-FFF2-40B4-BE49-F238E27FC236}">
              <a16:creationId xmlns:a16="http://schemas.microsoft.com/office/drawing/2014/main" id="{B222949B-5259-4F66-B552-DFD5B3457834}"/>
            </a:ext>
          </a:extLst>
        </xdr:cNvPr>
        <xdr:cNvSpPr txBox="1"/>
      </xdr:nvSpPr>
      <xdr:spPr>
        <a:xfrm>
          <a:off x="2275115" y="446315"/>
          <a:ext cx="3701142" cy="164374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Notes:</a:t>
          </a:r>
        </a:p>
        <a:p>
          <a:r>
            <a:rPr lang="en-GB" sz="1100"/>
            <a:t>Windows</a:t>
          </a:r>
          <a:r>
            <a:rPr lang="en-GB" sz="1100" baseline="0"/>
            <a:t> Server 2016 Datacenter (Desktop Experience)</a:t>
          </a:r>
        </a:p>
        <a:p>
          <a:r>
            <a:rPr lang="en-GB" sz="1100" baseline="0"/>
            <a:t>Eset Antivirus software</a:t>
          </a:r>
        </a:p>
        <a:p>
          <a:endParaRPr lang="en-GB" sz="1100"/>
        </a:p>
      </xdr:txBody>
    </xdr:sp>
    <xdr:clientData/>
  </xdr:twoCellAnchor>
  <xdr:twoCellAnchor>
    <xdr:from>
      <xdr:col>9</xdr:col>
      <xdr:colOff>0</xdr:colOff>
      <xdr:row>3</xdr:row>
      <xdr:rowOff>0</xdr:rowOff>
    </xdr:from>
    <xdr:to>
      <xdr:col>12</xdr:col>
      <xdr:colOff>927736</xdr:colOff>
      <xdr:row>3</xdr:row>
      <xdr:rowOff>1687286</xdr:rowOff>
    </xdr:to>
    <xdr:sp macro="" textlink="">
      <xdr:nvSpPr>
        <xdr:cNvPr id="17" name="TextBox 16">
          <a:extLst>
            <a:ext uri="{FF2B5EF4-FFF2-40B4-BE49-F238E27FC236}">
              <a16:creationId xmlns:a16="http://schemas.microsoft.com/office/drawing/2014/main" id="{94501555-A918-490E-91D5-5FDDEBBA1309}"/>
            </a:ext>
          </a:extLst>
        </xdr:cNvPr>
        <xdr:cNvSpPr txBox="1"/>
      </xdr:nvSpPr>
      <xdr:spPr>
        <a:xfrm>
          <a:off x="8142514" y="2046514"/>
          <a:ext cx="3736251" cy="168728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Notes:</a:t>
          </a:r>
        </a:p>
        <a:p>
          <a:r>
            <a:rPr lang="en-GB" sz="1100"/>
            <a:t>All</a:t>
          </a:r>
          <a:r>
            <a:rPr lang="en-GB" sz="1100" baseline="0"/>
            <a:t> drivers were installed automatically as part of the WIndows 10 installation.</a:t>
          </a:r>
        </a:p>
        <a:p>
          <a:r>
            <a:rPr lang="en-GB" sz="1100" baseline="0"/>
            <a:t>Local Admin details: Admin/ionsiTyp!2</a:t>
          </a:r>
          <a:endParaRPr lang="en-GB" sz="1100"/>
        </a:p>
      </xdr:txBody>
    </xdr:sp>
    <xdr:clientData/>
  </xdr:twoCellAnchor>
  <xdr:twoCellAnchor>
    <xdr:from>
      <xdr:col>9</xdr:col>
      <xdr:colOff>0</xdr:colOff>
      <xdr:row>2</xdr:row>
      <xdr:rowOff>0</xdr:rowOff>
    </xdr:from>
    <xdr:to>
      <xdr:col>12</xdr:col>
      <xdr:colOff>927736</xdr:colOff>
      <xdr:row>2</xdr:row>
      <xdr:rowOff>1643743</xdr:rowOff>
    </xdr:to>
    <xdr:sp macro="" textlink="">
      <xdr:nvSpPr>
        <xdr:cNvPr id="18" name="TextBox 17">
          <a:extLst>
            <a:ext uri="{FF2B5EF4-FFF2-40B4-BE49-F238E27FC236}">
              <a16:creationId xmlns:a16="http://schemas.microsoft.com/office/drawing/2014/main" id="{AECC0E77-68FB-4456-99DD-B15F785017E7}"/>
            </a:ext>
          </a:extLst>
        </xdr:cNvPr>
        <xdr:cNvSpPr txBox="1"/>
      </xdr:nvSpPr>
      <xdr:spPr>
        <a:xfrm>
          <a:off x="8142514" y="391886"/>
          <a:ext cx="3736251" cy="164374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Notes:</a:t>
          </a:r>
        </a:p>
        <a:p>
          <a:r>
            <a:rPr lang="en-GB" sz="1100"/>
            <a:t>Windows 10 Professional &lt;Product</a:t>
          </a:r>
          <a:r>
            <a:rPr lang="en-GB" sz="1100" baseline="0"/>
            <a:t> Key: VTVTN-HYT4R-DVFGR-MYUJT-FVERR&gt;</a:t>
          </a:r>
          <a:endParaRPr lang="en-GB" sz="1100"/>
        </a:p>
        <a:p>
          <a:r>
            <a:rPr lang="en-GB" sz="1100"/>
            <a:t>Eset Antivirus</a:t>
          </a:r>
          <a:r>
            <a:rPr lang="en-GB" sz="1100" baseline="0"/>
            <a:t> Software</a:t>
          </a:r>
        </a:p>
        <a:p>
          <a:r>
            <a:rPr lang="en-GB" sz="1100" baseline="0"/>
            <a:t>Office 2019 Software &lt;Product Key:SDFV4-WEFEW-SDVS3-FVF45-DCSDE&gt;</a:t>
          </a:r>
        </a:p>
        <a:p>
          <a:r>
            <a:rPr lang="en-GB" sz="1100" baseline="0"/>
            <a:t>MIcrosoft Teams</a:t>
          </a:r>
        </a:p>
        <a:p>
          <a:r>
            <a:rPr lang="en-GB" sz="1100" baseline="0"/>
            <a:t>Microsoft Project 2019 &lt;Product Key: SDFWE-ERGBF-RGBNG-FDVFR-HGNGH&gt;</a:t>
          </a:r>
          <a:endParaRPr lang="en-GB" sz="1100"/>
        </a:p>
      </xdr:txBody>
    </xdr:sp>
    <xdr:clientData/>
  </xdr:twoCellAnchor>
  <xdr:twoCellAnchor>
    <xdr:from>
      <xdr:col>16</xdr:col>
      <xdr:colOff>0</xdr:colOff>
      <xdr:row>2</xdr:row>
      <xdr:rowOff>0</xdr:rowOff>
    </xdr:from>
    <xdr:to>
      <xdr:col>19</xdr:col>
      <xdr:colOff>927736</xdr:colOff>
      <xdr:row>3</xdr:row>
      <xdr:rowOff>21772</xdr:rowOff>
    </xdr:to>
    <xdr:sp macro="" textlink="">
      <xdr:nvSpPr>
        <xdr:cNvPr id="19" name="TextBox 18">
          <a:extLst>
            <a:ext uri="{FF2B5EF4-FFF2-40B4-BE49-F238E27FC236}">
              <a16:creationId xmlns:a16="http://schemas.microsoft.com/office/drawing/2014/main" id="{47C725B6-3295-4F82-8AF9-6EF16C4026A6}"/>
            </a:ext>
          </a:extLst>
        </xdr:cNvPr>
        <xdr:cNvSpPr txBox="1"/>
      </xdr:nvSpPr>
      <xdr:spPr>
        <a:xfrm>
          <a:off x="14205857" y="391886"/>
          <a:ext cx="3736250" cy="1676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Notes:</a:t>
          </a:r>
        </a:p>
        <a:p>
          <a:r>
            <a:rPr lang="en-GB" sz="1100"/>
            <a:t>All OS</a:t>
          </a:r>
          <a:r>
            <a:rPr lang="en-GB" sz="1100" baseline="0"/>
            <a:t> updates are completed</a:t>
          </a:r>
        </a:p>
        <a:p>
          <a:r>
            <a:rPr lang="en-GB" sz="1100" baseline="0"/>
            <a:t>AVG Antivirus (Mobile)</a:t>
          </a:r>
        </a:p>
        <a:p>
          <a:r>
            <a:rPr lang="en-GB" sz="1100" baseline="0"/>
            <a:t>Find My Phone</a:t>
          </a:r>
        </a:p>
        <a:p>
          <a:endParaRPr lang="en-GB" sz="1100"/>
        </a:p>
      </xdr:txBody>
    </xdr:sp>
    <xdr:clientData/>
  </xdr:twoCellAnchor>
  <xdr:twoCellAnchor>
    <xdr:from>
      <xdr:col>16</xdr:col>
      <xdr:colOff>0</xdr:colOff>
      <xdr:row>3</xdr:row>
      <xdr:rowOff>0</xdr:rowOff>
    </xdr:from>
    <xdr:to>
      <xdr:col>19</xdr:col>
      <xdr:colOff>927736</xdr:colOff>
      <xdr:row>4</xdr:row>
      <xdr:rowOff>0</xdr:rowOff>
    </xdr:to>
    <xdr:sp macro="" textlink="">
      <xdr:nvSpPr>
        <xdr:cNvPr id="21" name="TextBox 20">
          <a:extLst>
            <a:ext uri="{FF2B5EF4-FFF2-40B4-BE49-F238E27FC236}">
              <a16:creationId xmlns:a16="http://schemas.microsoft.com/office/drawing/2014/main" id="{46C34686-83EF-4899-AECA-EEC0540E6035}"/>
            </a:ext>
          </a:extLst>
        </xdr:cNvPr>
        <xdr:cNvSpPr txBox="1"/>
      </xdr:nvSpPr>
      <xdr:spPr>
        <a:xfrm>
          <a:off x="14205857" y="2046514"/>
          <a:ext cx="3736250" cy="169817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Notes:</a:t>
          </a:r>
        </a:p>
        <a:p>
          <a:r>
            <a:rPr lang="en-GB" sz="1100"/>
            <a:t>Screen lock implemented</a:t>
          </a:r>
        </a:p>
        <a:p>
          <a:r>
            <a:rPr lang="en-GB" sz="1100"/>
            <a:t>Joined to OfficeWifi network</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H5"/>
  <sheetViews>
    <sheetView topLeftCell="A14" workbookViewId="0">
      <selection activeCell="D1" sqref="D1:H1"/>
    </sheetView>
  </sheetViews>
  <sheetFormatPr defaultRowHeight="15"/>
  <sheetData>
    <row r="1" spans="1:8" ht="22.5" thickTop="1" thickBot="1">
      <c r="A1" s="121" t="s">
        <v>0</v>
      </c>
      <c r="B1" s="122"/>
      <c r="C1" s="122"/>
      <c r="D1" s="123" t="s">
        <v>1</v>
      </c>
      <c r="E1" s="124"/>
      <c r="F1" s="124"/>
      <c r="G1" s="124"/>
      <c r="H1" s="125"/>
    </row>
    <row r="2" spans="1:8" ht="21.75" thickBot="1">
      <c r="A2" s="117" t="s">
        <v>2</v>
      </c>
      <c r="B2" s="118"/>
      <c r="C2" s="118"/>
      <c r="D2" s="126"/>
      <c r="E2" s="126"/>
      <c r="F2" s="126"/>
      <c r="G2" s="126"/>
      <c r="H2" s="127"/>
    </row>
    <row r="3" spans="1:8" ht="21.75" thickBot="1">
      <c r="A3" s="117" t="s">
        <v>3</v>
      </c>
      <c r="B3" s="118"/>
      <c r="C3" s="118"/>
      <c r="D3" s="126"/>
      <c r="E3" s="126"/>
      <c r="F3" s="126"/>
      <c r="G3" s="126"/>
      <c r="H3" s="127"/>
    </row>
    <row r="4" spans="1:8" ht="21.75" thickBot="1">
      <c r="A4" s="119" t="s">
        <v>4</v>
      </c>
      <c r="B4" s="120"/>
      <c r="C4" s="120"/>
      <c r="D4" s="128"/>
      <c r="E4" s="128"/>
      <c r="F4" s="128"/>
      <c r="G4" s="128"/>
      <c r="H4" s="129"/>
    </row>
    <row r="5" spans="1:8" ht="15.75" thickTop="1"/>
  </sheetData>
  <mergeCells count="8">
    <mergeCell ref="A2:C2"/>
    <mergeCell ref="A3:C3"/>
    <mergeCell ref="A4:C4"/>
    <mergeCell ref="A1:C1"/>
    <mergeCell ref="D1:H1"/>
    <mergeCell ref="D2:H2"/>
    <mergeCell ref="D3:H3"/>
    <mergeCell ref="D4:H4"/>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G301"/>
  <sheetViews>
    <sheetView topLeftCell="A2" workbookViewId="0">
      <selection activeCell="B6" sqref="B6"/>
    </sheetView>
  </sheetViews>
  <sheetFormatPr defaultColWidth="88" defaultRowHeight="15"/>
  <cols>
    <col min="1" max="1" width="40.140625" customWidth="1"/>
    <col min="2" max="2" width="37.42578125" bestFit="1" customWidth="1"/>
    <col min="3" max="3" width="54.85546875" bestFit="1" customWidth="1"/>
    <col min="4" max="4" width="45.85546875" customWidth="1"/>
    <col min="5" max="5" width="28.7109375" customWidth="1"/>
    <col min="6" max="6" width="27.85546875" customWidth="1"/>
    <col min="7" max="7" width="7.140625" bestFit="1" customWidth="1"/>
  </cols>
  <sheetData>
    <row r="1" spans="1:7" ht="29.25" thickTop="1" thickBot="1">
      <c r="A1" s="130" t="s">
        <v>5</v>
      </c>
      <c r="B1" s="131"/>
      <c r="C1" s="132"/>
      <c r="D1" s="132"/>
      <c r="E1" s="132"/>
      <c r="F1" s="132"/>
      <c r="G1" s="133"/>
    </row>
    <row r="2" spans="1:7" ht="21" thickTop="1" thickBot="1">
      <c r="A2" s="24" t="s">
        <v>6</v>
      </c>
      <c r="B2" s="70"/>
      <c r="C2" s="66" t="s">
        <v>7</v>
      </c>
      <c r="D2" s="22" t="s">
        <v>8</v>
      </c>
      <c r="E2" s="134"/>
      <c r="F2" s="135"/>
      <c r="G2" s="136"/>
    </row>
    <row r="3" spans="1:7" ht="20.25" thickBot="1">
      <c r="A3" s="25" t="s">
        <v>9</v>
      </c>
      <c r="B3" s="71"/>
      <c r="C3" s="67" t="s">
        <v>10</v>
      </c>
      <c r="D3" s="23" t="s">
        <v>11</v>
      </c>
      <c r="E3" s="137"/>
      <c r="F3" s="138"/>
      <c r="G3" s="139"/>
    </row>
    <row r="4" spans="1:7" ht="38.25" customHeight="1" thickTop="1" thickBot="1">
      <c r="A4" s="78" t="s">
        <v>12</v>
      </c>
      <c r="B4" s="79" t="s">
        <v>13</v>
      </c>
      <c r="C4" s="80" t="s">
        <v>14</v>
      </c>
      <c r="D4" s="80" t="s">
        <v>15</v>
      </c>
      <c r="E4" s="80" t="s">
        <v>16</v>
      </c>
      <c r="F4" s="80" t="s">
        <v>17</v>
      </c>
      <c r="G4" s="80" t="s">
        <v>18</v>
      </c>
    </row>
    <row r="5" spans="1:7" ht="72" customHeight="1">
      <c r="A5" s="105" t="s">
        <v>19</v>
      </c>
      <c r="B5" s="81" t="s">
        <v>20</v>
      </c>
      <c r="C5" s="82" t="s">
        <v>21</v>
      </c>
      <c r="D5" s="81" t="s">
        <v>22</v>
      </c>
      <c r="E5" s="81" t="s">
        <v>23</v>
      </c>
      <c r="F5" s="81" t="s">
        <v>24</v>
      </c>
      <c r="G5" s="83" t="s">
        <v>25</v>
      </c>
    </row>
    <row r="6" spans="1:7" ht="99" customHeight="1">
      <c r="A6" s="100" t="s">
        <v>26</v>
      </c>
      <c r="B6" s="84" t="s">
        <v>27</v>
      </c>
      <c r="C6" s="85" t="s">
        <v>21</v>
      </c>
      <c r="D6" s="84" t="s">
        <v>28</v>
      </c>
      <c r="E6" s="84" t="s">
        <v>23</v>
      </c>
      <c r="F6" s="84" t="s">
        <v>24</v>
      </c>
      <c r="G6" s="86" t="s">
        <v>25</v>
      </c>
    </row>
    <row r="7" spans="1:7" ht="75">
      <c r="A7" s="101" t="s">
        <v>29</v>
      </c>
      <c r="B7" s="84" t="s">
        <v>30</v>
      </c>
      <c r="C7" s="85" t="s">
        <v>21</v>
      </c>
      <c r="D7" s="84" t="s">
        <v>31</v>
      </c>
      <c r="E7" s="84" t="s">
        <v>23</v>
      </c>
      <c r="F7" s="84" t="s">
        <v>24</v>
      </c>
      <c r="G7" s="86" t="s">
        <v>25</v>
      </c>
    </row>
    <row r="8" spans="1:7" ht="135" customHeight="1">
      <c r="A8" s="100" t="s">
        <v>32</v>
      </c>
      <c r="B8" s="84" t="s">
        <v>33</v>
      </c>
      <c r="C8" s="85" t="s">
        <v>21</v>
      </c>
      <c r="D8" s="84" t="s">
        <v>34</v>
      </c>
      <c r="E8" s="84" t="s">
        <v>35</v>
      </c>
      <c r="F8" s="84" t="s">
        <v>36</v>
      </c>
      <c r="G8" s="86" t="s">
        <v>25</v>
      </c>
    </row>
    <row r="9" spans="1:7" ht="67.5" customHeight="1">
      <c r="A9" s="100" t="s">
        <v>37</v>
      </c>
      <c r="B9" s="84" t="s">
        <v>38</v>
      </c>
      <c r="C9" s="85" t="s">
        <v>21</v>
      </c>
      <c r="D9" s="84" t="s">
        <v>39</v>
      </c>
      <c r="E9" s="84" t="s">
        <v>23</v>
      </c>
      <c r="F9" s="84" t="s">
        <v>24</v>
      </c>
      <c r="G9" s="86" t="s">
        <v>25</v>
      </c>
    </row>
    <row r="10" spans="1:7" ht="30">
      <c r="A10" s="92" t="s">
        <v>40</v>
      </c>
      <c r="B10" s="84" t="s">
        <v>41</v>
      </c>
      <c r="C10" s="85" t="s">
        <v>21</v>
      </c>
      <c r="D10" s="84" t="s">
        <v>42</v>
      </c>
      <c r="E10" s="84" t="s">
        <v>43</v>
      </c>
      <c r="F10" s="84" t="s">
        <v>44</v>
      </c>
      <c r="G10" s="86" t="s">
        <v>25</v>
      </c>
    </row>
    <row r="11" spans="1:7" ht="45">
      <c r="A11" s="92" t="s">
        <v>45</v>
      </c>
      <c r="B11" s="84" t="s">
        <v>41</v>
      </c>
      <c r="C11" s="102" t="s">
        <v>21</v>
      </c>
      <c r="D11" s="84" t="s">
        <v>46</v>
      </c>
      <c r="E11" s="84" t="s">
        <v>47</v>
      </c>
      <c r="F11" s="84" t="s">
        <v>48</v>
      </c>
      <c r="G11" s="103"/>
    </row>
    <row r="12" spans="1:7" ht="45">
      <c r="A12" s="92" t="s">
        <v>49</v>
      </c>
      <c r="B12" s="84" t="s">
        <v>50</v>
      </c>
      <c r="C12" s="102" t="s">
        <v>21</v>
      </c>
      <c r="D12" s="84" t="s">
        <v>51</v>
      </c>
      <c r="E12" s="84" t="s">
        <v>47</v>
      </c>
      <c r="F12" s="84" t="s">
        <v>48</v>
      </c>
      <c r="G12" s="103"/>
    </row>
    <row r="13" spans="1:7" ht="45">
      <c r="A13" s="92" t="s">
        <v>52</v>
      </c>
      <c r="B13" s="84" t="s">
        <v>53</v>
      </c>
      <c r="C13" s="102" t="s">
        <v>21</v>
      </c>
      <c r="D13" s="84" t="s">
        <v>54</v>
      </c>
      <c r="E13" s="104" t="s">
        <v>55</v>
      </c>
      <c r="F13" s="104" t="s">
        <v>56</v>
      </c>
      <c r="G13" s="103"/>
    </row>
    <row r="14" spans="1:7" ht="45">
      <c r="A14" s="87"/>
      <c r="B14" s="84" t="s">
        <v>57</v>
      </c>
      <c r="C14" s="102" t="s">
        <v>21</v>
      </c>
      <c r="D14" s="84" t="s">
        <v>54</v>
      </c>
      <c r="E14" s="104" t="s">
        <v>55</v>
      </c>
      <c r="F14" s="104" t="s">
        <v>58</v>
      </c>
      <c r="G14" s="103"/>
    </row>
    <row r="15" spans="1:7" ht="30">
      <c r="A15" s="87"/>
      <c r="B15" s="84" t="s">
        <v>59</v>
      </c>
      <c r="C15" s="102" t="s">
        <v>21</v>
      </c>
      <c r="D15" s="104"/>
      <c r="E15" s="104"/>
      <c r="F15" s="104"/>
      <c r="G15" s="103"/>
    </row>
    <row r="16" spans="1:7">
      <c r="A16" s="89"/>
      <c r="B16" s="90"/>
      <c r="C16" s="91"/>
      <c r="D16" s="90"/>
      <c r="E16" s="90"/>
      <c r="F16" s="90"/>
      <c r="G16" s="88"/>
    </row>
    <row r="17" spans="1:7">
      <c r="A17" s="89"/>
      <c r="B17" s="90"/>
      <c r="C17" s="91"/>
      <c r="D17" s="90"/>
      <c r="E17" s="90"/>
      <c r="F17" s="90"/>
      <c r="G17" s="88"/>
    </row>
    <row r="18" spans="1:7">
      <c r="A18" s="89"/>
      <c r="B18" s="90"/>
      <c r="C18" s="91"/>
      <c r="D18" s="90"/>
      <c r="E18" s="90"/>
      <c r="F18" s="90"/>
      <c r="G18" s="88"/>
    </row>
    <row r="19" spans="1:7">
      <c r="A19" s="89"/>
      <c r="B19" s="90"/>
      <c r="C19" s="91"/>
      <c r="D19" s="90"/>
      <c r="E19" s="90"/>
      <c r="F19" s="90"/>
      <c r="G19" s="88"/>
    </row>
    <row r="20" spans="1:7">
      <c r="A20" s="89"/>
      <c r="B20" s="90"/>
      <c r="C20" s="91"/>
      <c r="D20" s="90"/>
      <c r="E20" s="90"/>
      <c r="F20" s="90"/>
      <c r="G20" s="88"/>
    </row>
    <row r="21" spans="1:7">
      <c r="A21" s="64"/>
      <c r="B21" s="18"/>
      <c r="C21" s="68"/>
      <c r="D21" s="18"/>
      <c r="E21" s="18"/>
      <c r="F21" s="18"/>
      <c r="G21" s="19"/>
    </row>
    <row r="22" spans="1:7">
      <c r="A22" s="64"/>
      <c r="B22" s="18"/>
      <c r="C22" s="68"/>
      <c r="D22" s="18"/>
      <c r="E22" s="18"/>
      <c r="F22" s="18"/>
      <c r="G22" s="19"/>
    </row>
    <row r="23" spans="1:7">
      <c r="A23" s="64"/>
      <c r="B23" s="18"/>
      <c r="C23" s="68"/>
      <c r="D23" s="18"/>
      <c r="E23" s="18"/>
      <c r="F23" s="18"/>
      <c r="G23" s="19"/>
    </row>
    <row r="24" spans="1:7">
      <c r="A24" s="64"/>
      <c r="B24" s="18"/>
      <c r="C24" s="68"/>
      <c r="D24" s="18"/>
      <c r="E24" s="18"/>
      <c r="F24" s="18"/>
      <c r="G24" s="19"/>
    </row>
    <row r="25" spans="1:7">
      <c r="A25" s="64"/>
      <c r="B25" s="18"/>
      <c r="C25" s="68"/>
      <c r="D25" s="18"/>
      <c r="E25" s="18"/>
      <c r="F25" s="18"/>
      <c r="G25" s="19"/>
    </row>
    <row r="26" spans="1:7">
      <c r="A26" s="64"/>
      <c r="B26" s="18"/>
      <c r="C26" s="68"/>
      <c r="D26" s="18"/>
      <c r="E26" s="18"/>
      <c r="F26" s="18"/>
      <c r="G26" s="19"/>
    </row>
    <row r="27" spans="1:7">
      <c r="A27" s="64"/>
      <c r="B27" s="18"/>
      <c r="C27" s="68"/>
      <c r="D27" s="18"/>
      <c r="E27" s="18"/>
      <c r="F27" s="18"/>
      <c r="G27" s="19"/>
    </row>
    <row r="28" spans="1:7">
      <c r="A28" s="64"/>
      <c r="B28" s="18"/>
      <c r="C28" s="68"/>
      <c r="D28" s="18"/>
      <c r="E28" s="18"/>
      <c r="F28" s="18"/>
      <c r="G28" s="19"/>
    </row>
    <row r="29" spans="1:7">
      <c r="A29" s="64"/>
      <c r="B29" s="18"/>
      <c r="C29" s="68"/>
      <c r="D29" s="18"/>
      <c r="E29" s="18"/>
      <c r="F29" s="18"/>
      <c r="G29" s="19"/>
    </row>
    <row r="30" spans="1:7">
      <c r="A30" s="64"/>
      <c r="B30" s="18"/>
      <c r="C30" s="68"/>
      <c r="D30" s="18"/>
      <c r="E30" s="18"/>
      <c r="F30" s="18"/>
      <c r="G30" s="19"/>
    </row>
    <row r="31" spans="1:7">
      <c r="A31" s="64"/>
      <c r="B31" s="18"/>
      <c r="C31" s="68"/>
      <c r="D31" s="18"/>
      <c r="E31" s="18"/>
      <c r="F31" s="18"/>
      <c r="G31" s="19"/>
    </row>
    <row r="32" spans="1:7">
      <c r="A32" s="64"/>
      <c r="B32" s="18"/>
      <c r="C32" s="68"/>
      <c r="D32" s="18"/>
      <c r="E32" s="18"/>
      <c r="F32" s="18"/>
      <c r="G32" s="19"/>
    </row>
    <row r="33" spans="1:7">
      <c r="A33" s="64"/>
      <c r="B33" s="18"/>
      <c r="C33" s="68"/>
      <c r="D33" s="18"/>
      <c r="E33" s="18"/>
      <c r="F33" s="18"/>
      <c r="G33" s="19"/>
    </row>
    <row r="34" spans="1:7">
      <c r="A34" s="64"/>
      <c r="B34" s="18"/>
      <c r="C34" s="68"/>
      <c r="D34" s="18"/>
      <c r="E34" s="18"/>
      <c r="F34" s="18"/>
      <c r="G34" s="19"/>
    </row>
    <row r="35" spans="1:7">
      <c r="A35" s="64"/>
      <c r="B35" s="18"/>
      <c r="C35" s="68"/>
      <c r="D35" s="18"/>
      <c r="E35" s="18"/>
      <c r="F35" s="18"/>
      <c r="G35" s="19"/>
    </row>
    <row r="36" spans="1:7">
      <c r="A36" s="64"/>
      <c r="B36" s="18"/>
      <c r="C36" s="68"/>
      <c r="D36" s="18"/>
      <c r="E36" s="18"/>
      <c r="F36" s="18"/>
      <c r="G36" s="19"/>
    </row>
    <row r="37" spans="1:7">
      <c r="A37" s="64"/>
      <c r="B37" s="18"/>
      <c r="C37" s="68"/>
      <c r="D37" s="18"/>
      <c r="E37" s="18"/>
      <c r="F37" s="18"/>
      <c r="G37" s="19"/>
    </row>
    <row r="38" spans="1:7">
      <c r="A38" s="64"/>
      <c r="B38" s="18"/>
      <c r="C38" s="68"/>
      <c r="D38" s="18"/>
      <c r="E38" s="18"/>
      <c r="F38" s="18"/>
      <c r="G38" s="19"/>
    </row>
    <row r="39" spans="1:7">
      <c r="A39" s="64"/>
      <c r="B39" s="18"/>
      <c r="C39" s="68"/>
      <c r="D39" s="18"/>
      <c r="E39" s="18"/>
      <c r="F39" s="18"/>
      <c r="G39" s="19"/>
    </row>
    <row r="40" spans="1:7">
      <c r="A40" s="64"/>
      <c r="B40" s="18"/>
      <c r="C40" s="68"/>
      <c r="D40" s="18"/>
      <c r="E40" s="18"/>
      <c r="F40" s="18"/>
      <c r="G40" s="19"/>
    </row>
    <row r="41" spans="1:7">
      <c r="A41" s="64"/>
      <c r="B41" s="18"/>
      <c r="C41" s="68"/>
      <c r="D41" s="18"/>
      <c r="E41" s="18"/>
      <c r="F41" s="18"/>
      <c r="G41" s="19"/>
    </row>
    <row r="42" spans="1:7">
      <c r="A42" s="64"/>
      <c r="B42" s="18"/>
      <c r="C42" s="68"/>
      <c r="D42" s="18"/>
      <c r="E42" s="18"/>
      <c r="F42" s="18"/>
      <c r="G42" s="19"/>
    </row>
    <row r="43" spans="1:7">
      <c r="A43" s="64"/>
      <c r="B43" s="18"/>
      <c r="C43" s="68"/>
      <c r="D43" s="18"/>
      <c r="E43" s="18"/>
      <c r="F43" s="18"/>
      <c r="G43" s="19"/>
    </row>
    <row r="44" spans="1:7">
      <c r="A44" s="64"/>
      <c r="B44" s="18"/>
      <c r="C44" s="68"/>
      <c r="D44" s="18"/>
      <c r="E44" s="18"/>
      <c r="F44" s="18"/>
      <c r="G44" s="19"/>
    </row>
    <row r="45" spans="1:7">
      <c r="A45" s="64"/>
      <c r="B45" s="18"/>
      <c r="C45" s="68"/>
      <c r="D45" s="18"/>
      <c r="E45" s="18"/>
      <c r="F45" s="18"/>
      <c r="G45" s="19"/>
    </row>
    <row r="46" spans="1:7">
      <c r="A46" s="64"/>
      <c r="B46" s="18"/>
      <c r="C46" s="68"/>
      <c r="D46" s="18"/>
      <c r="E46" s="18"/>
      <c r="F46" s="18"/>
      <c r="G46" s="19"/>
    </row>
    <row r="47" spans="1:7">
      <c r="A47" s="64"/>
      <c r="B47" s="18"/>
      <c r="C47" s="68"/>
      <c r="D47" s="18"/>
      <c r="E47" s="18"/>
      <c r="F47" s="18"/>
      <c r="G47" s="19"/>
    </row>
    <row r="48" spans="1:7">
      <c r="A48" s="64"/>
      <c r="B48" s="18"/>
      <c r="C48" s="68"/>
      <c r="D48" s="18"/>
      <c r="E48" s="18"/>
      <c r="F48" s="18"/>
      <c r="G48" s="19"/>
    </row>
    <row r="49" spans="1:7">
      <c r="A49" s="64"/>
      <c r="B49" s="18"/>
      <c r="C49" s="68"/>
      <c r="D49" s="18"/>
      <c r="E49" s="18"/>
      <c r="F49" s="18"/>
      <c r="G49" s="19"/>
    </row>
    <row r="50" spans="1:7">
      <c r="A50" s="64"/>
      <c r="B50" s="18"/>
      <c r="C50" s="68"/>
      <c r="D50" s="18"/>
      <c r="E50" s="18"/>
      <c r="F50" s="18"/>
      <c r="G50" s="19"/>
    </row>
    <row r="51" spans="1:7">
      <c r="A51" s="64"/>
      <c r="B51" s="18"/>
      <c r="C51" s="68"/>
      <c r="D51" s="18"/>
      <c r="E51" s="18"/>
      <c r="F51" s="18"/>
      <c r="G51" s="19"/>
    </row>
    <row r="52" spans="1:7">
      <c r="A52" s="64"/>
      <c r="B52" s="18"/>
      <c r="C52" s="68"/>
      <c r="D52" s="18"/>
      <c r="E52" s="18"/>
      <c r="F52" s="18"/>
      <c r="G52" s="19"/>
    </row>
    <row r="53" spans="1:7">
      <c r="A53" s="64"/>
      <c r="B53" s="18"/>
      <c r="C53" s="68"/>
      <c r="D53" s="18"/>
      <c r="E53" s="18"/>
      <c r="F53" s="18"/>
      <c r="G53" s="19"/>
    </row>
    <row r="54" spans="1:7">
      <c r="A54" s="64"/>
      <c r="B54" s="18"/>
      <c r="C54" s="68"/>
      <c r="D54" s="18"/>
      <c r="E54" s="18"/>
      <c r="F54" s="18"/>
      <c r="G54" s="19"/>
    </row>
    <row r="55" spans="1:7">
      <c r="A55" s="64"/>
      <c r="B55" s="18"/>
      <c r="C55" s="68"/>
      <c r="D55" s="18"/>
      <c r="E55" s="18"/>
      <c r="F55" s="18"/>
      <c r="G55" s="19"/>
    </row>
    <row r="56" spans="1:7">
      <c r="A56" s="64"/>
      <c r="B56" s="18"/>
      <c r="C56" s="68"/>
      <c r="D56" s="18"/>
      <c r="E56" s="18"/>
      <c r="F56" s="18"/>
      <c r="G56" s="19"/>
    </row>
    <row r="57" spans="1:7">
      <c r="A57" s="64"/>
      <c r="B57" s="18"/>
      <c r="C57" s="68"/>
      <c r="D57" s="18"/>
      <c r="E57" s="18"/>
      <c r="F57" s="18"/>
      <c r="G57" s="19"/>
    </row>
    <row r="58" spans="1:7">
      <c r="A58" s="64"/>
      <c r="B58" s="18"/>
      <c r="C58" s="68"/>
      <c r="D58" s="18"/>
      <c r="E58" s="18"/>
      <c r="F58" s="18"/>
      <c r="G58" s="19"/>
    </row>
    <row r="59" spans="1:7">
      <c r="A59" s="64"/>
      <c r="B59" s="18"/>
      <c r="C59" s="68"/>
      <c r="D59" s="18"/>
      <c r="E59" s="18"/>
      <c r="F59" s="18"/>
      <c r="G59" s="19"/>
    </row>
    <row r="60" spans="1:7">
      <c r="A60" s="64"/>
      <c r="B60" s="18"/>
      <c r="C60" s="68"/>
      <c r="D60" s="18"/>
      <c r="E60" s="18"/>
      <c r="F60" s="18"/>
      <c r="G60" s="19"/>
    </row>
    <row r="61" spans="1:7">
      <c r="A61" s="64"/>
      <c r="B61" s="18"/>
      <c r="C61" s="68"/>
      <c r="D61" s="18"/>
      <c r="E61" s="18"/>
      <c r="F61" s="18"/>
      <c r="G61" s="19"/>
    </row>
    <row r="62" spans="1:7">
      <c r="A62" s="64"/>
      <c r="B62" s="18"/>
      <c r="C62" s="68"/>
      <c r="D62" s="18"/>
      <c r="E62" s="18"/>
      <c r="F62" s="18"/>
      <c r="G62" s="19"/>
    </row>
    <row r="63" spans="1:7">
      <c r="A63" s="64"/>
      <c r="B63" s="18"/>
      <c r="C63" s="68"/>
      <c r="D63" s="18"/>
      <c r="E63" s="18"/>
      <c r="F63" s="18"/>
      <c r="G63" s="19"/>
    </row>
    <row r="64" spans="1:7">
      <c r="A64" s="64"/>
      <c r="B64" s="18"/>
      <c r="C64" s="68"/>
      <c r="D64" s="18"/>
      <c r="E64" s="18"/>
      <c r="F64" s="18"/>
      <c r="G64" s="19"/>
    </row>
    <row r="65" spans="1:7">
      <c r="A65" s="64"/>
      <c r="B65" s="18"/>
      <c r="C65" s="68"/>
      <c r="D65" s="18"/>
      <c r="E65" s="18"/>
      <c r="F65" s="18"/>
      <c r="G65" s="19"/>
    </row>
    <row r="66" spans="1:7">
      <c r="A66" s="64"/>
      <c r="B66" s="18"/>
      <c r="C66" s="68"/>
      <c r="D66" s="18"/>
      <c r="E66" s="18"/>
      <c r="F66" s="18"/>
      <c r="G66" s="19"/>
    </row>
    <row r="67" spans="1:7">
      <c r="A67" s="64"/>
      <c r="B67" s="18"/>
      <c r="C67" s="68"/>
      <c r="D67" s="18"/>
      <c r="E67" s="18"/>
      <c r="F67" s="18"/>
      <c r="G67" s="19"/>
    </row>
    <row r="68" spans="1:7">
      <c r="A68" s="64"/>
      <c r="B68" s="18"/>
      <c r="C68" s="68"/>
      <c r="D68" s="18"/>
      <c r="E68" s="18"/>
      <c r="F68" s="18"/>
      <c r="G68" s="19"/>
    </row>
    <row r="69" spans="1:7">
      <c r="A69" s="64"/>
      <c r="B69" s="18"/>
      <c r="C69" s="68"/>
      <c r="D69" s="18"/>
      <c r="E69" s="18"/>
      <c r="F69" s="18"/>
      <c r="G69" s="19"/>
    </row>
    <row r="70" spans="1:7">
      <c r="A70" s="64"/>
      <c r="B70" s="18"/>
      <c r="C70" s="68"/>
      <c r="D70" s="18"/>
      <c r="E70" s="18"/>
      <c r="F70" s="18"/>
      <c r="G70" s="19"/>
    </row>
    <row r="71" spans="1:7">
      <c r="A71" s="64"/>
      <c r="B71" s="18"/>
      <c r="C71" s="68"/>
      <c r="D71" s="18"/>
      <c r="E71" s="18"/>
      <c r="F71" s="18"/>
      <c r="G71" s="19"/>
    </row>
    <row r="72" spans="1:7">
      <c r="A72" s="64"/>
      <c r="B72" s="18"/>
      <c r="C72" s="68"/>
      <c r="D72" s="18"/>
      <c r="E72" s="18"/>
      <c r="F72" s="18"/>
      <c r="G72" s="19"/>
    </row>
    <row r="73" spans="1:7">
      <c r="A73" s="64"/>
      <c r="B73" s="18"/>
      <c r="C73" s="68"/>
      <c r="D73" s="18"/>
      <c r="E73" s="18"/>
      <c r="F73" s="18"/>
      <c r="G73" s="19"/>
    </row>
    <row r="74" spans="1:7">
      <c r="A74" s="64"/>
      <c r="B74" s="18"/>
      <c r="C74" s="68"/>
      <c r="D74" s="18"/>
      <c r="E74" s="18"/>
      <c r="F74" s="18"/>
      <c r="G74" s="19"/>
    </row>
    <row r="75" spans="1:7">
      <c r="A75" s="64"/>
      <c r="B75" s="18"/>
      <c r="C75" s="68"/>
      <c r="D75" s="18"/>
      <c r="E75" s="18"/>
      <c r="F75" s="18"/>
      <c r="G75" s="19"/>
    </row>
    <row r="76" spans="1:7">
      <c r="A76" s="64"/>
      <c r="B76" s="18"/>
      <c r="C76" s="68"/>
      <c r="D76" s="18"/>
      <c r="E76" s="18"/>
      <c r="F76" s="18"/>
      <c r="G76" s="19"/>
    </row>
    <row r="77" spans="1:7">
      <c r="A77" s="64"/>
      <c r="B77" s="18"/>
      <c r="C77" s="68"/>
      <c r="D77" s="18"/>
      <c r="E77" s="18"/>
      <c r="F77" s="18"/>
      <c r="G77" s="19"/>
    </row>
    <row r="78" spans="1:7">
      <c r="A78" s="64"/>
      <c r="B78" s="18"/>
      <c r="C78" s="68"/>
      <c r="D78" s="18"/>
      <c r="E78" s="18"/>
      <c r="F78" s="18"/>
      <c r="G78" s="19"/>
    </row>
    <row r="79" spans="1:7">
      <c r="A79" s="64"/>
      <c r="B79" s="18"/>
      <c r="C79" s="68"/>
      <c r="D79" s="18"/>
      <c r="E79" s="18"/>
      <c r="F79" s="18"/>
      <c r="G79" s="19"/>
    </row>
    <row r="80" spans="1:7">
      <c r="A80" s="64"/>
      <c r="B80" s="18"/>
      <c r="C80" s="68"/>
      <c r="D80" s="18"/>
      <c r="E80" s="18"/>
      <c r="F80" s="18"/>
      <c r="G80" s="19"/>
    </row>
    <row r="81" spans="1:7">
      <c r="A81" s="64"/>
      <c r="B81" s="18"/>
      <c r="C81" s="68"/>
      <c r="D81" s="18"/>
      <c r="E81" s="18"/>
      <c r="F81" s="18"/>
      <c r="G81" s="19"/>
    </row>
    <row r="82" spans="1:7">
      <c r="A82" s="64"/>
      <c r="B82" s="18"/>
      <c r="C82" s="68"/>
      <c r="D82" s="18"/>
      <c r="E82" s="18"/>
      <c r="F82" s="18"/>
      <c r="G82" s="19"/>
    </row>
    <row r="83" spans="1:7">
      <c r="A83" s="64"/>
      <c r="B83" s="18"/>
      <c r="C83" s="68"/>
      <c r="D83" s="18"/>
      <c r="E83" s="18"/>
      <c r="F83" s="18"/>
      <c r="G83" s="19"/>
    </row>
    <row r="84" spans="1:7">
      <c r="A84" s="64"/>
      <c r="B84" s="18"/>
      <c r="C84" s="68"/>
      <c r="D84" s="18"/>
      <c r="E84" s="18"/>
      <c r="F84" s="18"/>
      <c r="G84" s="19"/>
    </row>
    <row r="85" spans="1:7">
      <c r="A85" s="64"/>
      <c r="B85" s="18"/>
      <c r="C85" s="68"/>
      <c r="D85" s="18"/>
      <c r="E85" s="18"/>
      <c r="F85" s="18"/>
      <c r="G85" s="19"/>
    </row>
    <row r="86" spans="1:7">
      <c r="A86" s="64"/>
      <c r="B86" s="18"/>
      <c r="C86" s="68"/>
      <c r="D86" s="18"/>
      <c r="E86" s="18"/>
      <c r="F86" s="18"/>
      <c r="G86" s="19"/>
    </row>
    <row r="87" spans="1:7">
      <c r="A87" s="64"/>
      <c r="B87" s="18"/>
      <c r="C87" s="68"/>
      <c r="D87" s="18"/>
      <c r="E87" s="18"/>
      <c r="F87" s="18"/>
      <c r="G87" s="19"/>
    </row>
    <row r="88" spans="1:7">
      <c r="A88" s="64"/>
      <c r="B88" s="18"/>
      <c r="C88" s="68"/>
      <c r="D88" s="18"/>
      <c r="E88" s="18"/>
      <c r="F88" s="18"/>
      <c r="G88" s="19"/>
    </row>
    <row r="89" spans="1:7">
      <c r="A89" s="64"/>
      <c r="B89" s="18"/>
      <c r="C89" s="68"/>
      <c r="D89" s="18"/>
      <c r="E89" s="18"/>
      <c r="F89" s="18"/>
      <c r="G89" s="19"/>
    </row>
    <row r="90" spans="1:7">
      <c r="A90" s="64"/>
      <c r="B90" s="18"/>
      <c r="C90" s="68"/>
      <c r="D90" s="18"/>
      <c r="E90" s="18"/>
      <c r="F90" s="18"/>
      <c r="G90" s="19"/>
    </row>
    <row r="91" spans="1:7">
      <c r="A91" s="64"/>
      <c r="B91" s="18"/>
      <c r="C91" s="68"/>
      <c r="D91" s="18"/>
      <c r="E91" s="18"/>
      <c r="F91" s="18"/>
      <c r="G91" s="19"/>
    </row>
    <row r="92" spans="1:7">
      <c r="A92" s="64"/>
      <c r="B92" s="18"/>
      <c r="C92" s="68"/>
      <c r="D92" s="18"/>
      <c r="E92" s="18"/>
      <c r="F92" s="18"/>
      <c r="G92" s="19"/>
    </row>
    <row r="93" spans="1:7">
      <c r="A93" s="64"/>
      <c r="B93" s="18"/>
      <c r="C93" s="68"/>
      <c r="D93" s="18"/>
      <c r="E93" s="18"/>
      <c r="F93" s="18"/>
      <c r="G93" s="19"/>
    </row>
    <row r="94" spans="1:7">
      <c r="A94" s="64"/>
      <c r="B94" s="18"/>
      <c r="C94" s="68"/>
      <c r="D94" s="18"/>
      <c r="E94" s="18"/>
      <c r="F94" s="18"/>
      <c r="G94" s="19"/>
    </row>
    <row r="95" spans="1:7">
      <c r="A95" s="64"/>
      <c r="B95" s="18"/>
      <c r="C95" s="68"/>
      <c r="D95" s="18"/>
      <c r="E95" s="18"/>
      <c r="F95" s="18"/>
      <c r="G95" s="19"/>
    </row>
    <row r="96" spans="1:7">
      <c r="A96" s="64"/>
      <c r="B96" s="18"/>
      <c r="C96" s="68"/>
      <c r="D96" s="18"/>
      <c r="E96" s="18"/>
      <c r="F96" s="18"/>
      <c r="G96" s="19"/>
    </row>
    <row r="97" spans="1:7">
      <c r="A97" s="64"/>
      <c r="B97" s="18"/>
      <c r="C97" s="68"/>
      <c r="D97" s="18"/>
      <c r="E97" s="18"/>
      <c r="F97" s="18"/>
      <c r="G97" s="19"/>
    </row>
    <row r="98" spans="1:7">
      <c r="A98" s="64"/>
      <c r="B98" s="18"/>
      <c r="C98" s="68"/>
      <c r="D98" s="18"/>
      <c r="E98" s="18"/>
      <c r="F98" s="18"/>
      <c r="G98" s="19"/>
    </row>
    <row r="99" spans="1:7">
      <c r="A99" s="64"/>
      <c r="B99" s="18"/>
      <c r="C99" s="68"/>
      <c r="D99" s="18"/>
      <c r="E99" s="18"/>
      <c r="F99" s="18"/>
      <c r="G99" s="19"/>
    </row>
    <row r="100" spans="1:7">
      <c r="A100" s="64"/>
      <c r="B100" s="18"/>
      <c r="C100" s="68"/>
      <c r="D100" s="18"/>
      <c r="E100" s="18"/>
      <c r="F100" s="18"/>
      <c r="G100" s="19"/>
    </row>
    <row r="101" spans="1:7">
      <c r="A101" s="64"/>
      <c r="B101" s="18"/>
      <c r="C101" s="68"/>
      <c r="D101" s="18"/>
      <c r="E101" s="18"/>
      <c r="F101" s="18"/>
      <c r="G101" s="19"/>
    </row>
    <row r="102" spans="1:7">
      <c r="A102" s="64"/>
      <c r="B102" s="18"/>
      <c r="C102" s="68"/>
      <c r="D102" s="18"/>
      <c r="E102" s="18"/>
      <c r="F102" s="18"/>
      <c r="G102" s="19"/>
    </row>
    <row r="103" spans="1:7">
      <c r="A103" s="64"/>
      <c r="B103" s="18"/>
      <c r="C103" s="68"/>
      <c r="D103" s="18"/>
      <c r="E103" s="18"/>
      <c r="F103" s="18"/>
      <c r="G103" s="19"/>
    </row>
    <row r="104" spans="1:7">
      <c r="A104" s="64"/>
      <c r="B104" s="18"/>
      <c r="C104" s="68"/>
      <c r="D104" s="18"/>
      <c r="E104" s="18"/>
      <c r="F104" s="18"/>
      <c r="G104" s="19"/>
    </row>
    <row r="105" spans="1:7">
      <c r="A105" s="64"/>
      <c r="B105" s="18"/>
      <c r="C105" s="68"/>
      <c r="D105" s="18"/>
      <c r="E105" s="18"/>
      <c r="F105" s="18"/>
      <c r="G105" s="19"/>
    </row>
    <row r="106" spans="1:7">
      <c r="A106" s="64"/>
      <c r="B106" s="18"/>
      <c r="C106" s="68"/>
      <c r="D106" s="18"/>
      <c r="E106" s="18"/>
      <c r="F106" s="18"/>
      <c r="G106" s="19"/>
    </row>
    <row r="107" spans="1:7">
      <c r="A107" s="64"/>
      <c r="B107" s="18"/>
      <c r="C107" s="68"/>
      <c r="D107" s="18"/>
      <c r="E107" s="18"/>
      <c r="F107" s="18"/>
      <c r="G107" s="19"/>
    </row>
    <row r="108" spans="1:7">
      <c r="A108" s="64"/>
      <c r="B108" s="18"/>
      <c r="C108" s="68"/>
      <c r="D108" s="18"/>
      <c r="E108" s="18"/>
      <c r="F108" s="18"/>
      <c r="G108" s="19"/>
    </row>
    <row r="109" spans="1:7">
      <c r="A109" s="64"/>
      <c r="B109" s="18"/>
      <c r="C109" s="68"/>
      <c r="D109" s="18"/>
      <c r="E109" s="18"/>
      <c r="F109" s="18"/>
      <c r="G109" s="19"/>
    </row>
    <row r="110" spans="1:7">
      <c r="A110" s="64"/>
      <c r="B110" s="18"/>
      <c r="C110" s="68"/>
      <c r="D110" s="18"/>
      <c r="E110" s="18"/>
      <c r="F110" s="18"/>
      <c r="G110" s="19"/>
    </row>
    <row r="111" spans="1:7">
      <c r="A111" s="64"/>
      <c r="B111" s="18"/>
      <c r="C111" s="68"/>
      <c r="D111" s="18"/>
      <c r="E111" s="18"/>
      <c r="F111" s="18"/>
      <c r="G111" s="19"/>
    </row>
    <row r="112" spans="1:7">
      <c r="A112" s="64"/>
      <c r="B112" s="18"/>
      <c r="C112" s="68"/>
      <c r="D112" s="18"/>
      <c r="E112" s="18"/>
      <c r="F112" s="18"/>
      <c r="G112" s="19"/>
    </row>
    <row r="113" spans="1:7">
      <c r="A113" s="64"/>
      <c r="B113" s="18"/>
      <c r="C113" s="68"/>
      <c r="D113" s="18"/>
      <c r="E113" s="18"/>
      <c r="F113" s="18"/>
      <c r="G113" s="19"/>
    </row>
    <row r="114" spans="1:7">
      <c r="A114" s="64"/>
      <c r="B114" s="18"/>
      <c r="C114" s="68"/>
      <c r="D114" s="18"/>
      <c r="E114" s="18"/>
      <c r="F114" s="18"/>
      <c r="G114" s="19"/>
    </row>
    <row r="115" spans="1:7">
      <c r="A115" s="64"/>
      <c r="B115" s="18"/>
      <c r="C115" s="68"/>
      <c r="D115" s="18"/>
      <c r="E115" s="18"/>
      <c r="F115" s="18"/>
      <c r="G115" s="19"/>
    </row>
    <row r="116" spans="1:7">
      <c r="A116" s="64"/>
      <c r="B116" s="18"/>
      <c r="C116" s="68"/>
      <c r="D116" s="18"/>
      <c r="E116" s="18"/>
      <c r="F116" s="18"/>
      <c r="G116" s="19"/>
    </row>
    <row r="117" spans="1:7">
      <c r="A117" s="64"/>
      <c r="B117" s="18"/>
      <c r="C117" s="68"/>
      <c r="D117" s="18"/>
      <c r="E117" s="18"/>
      <c r="F117" s="18"/>
      <c r="G117" s="19"/>
    </row>
    <row r="118" spans="1:7">
      <c r="A118" s="64"/>
      <c r="B118" s="18"/>
      <c r="C118" s="68"/>
      <c r="D118" s="18"/>
      <c r="E118" s="18"/>
      <c r="F118" s="18"/>
      <c r="G118" s="19"/>
    </row>
    <row r="119" spans="1:7">
      <c r="A119" s="64"/>
      <c r="B119" s="18"/>
      <c r="C119" s="68"/>
      <c r="D119" s="18"/>
      <c r="E119" s="18"/>
      <c r="F119" s="18"/>
      <c r="G119" s="19"/>
    </row>
    <row r="120" spans="1:7">
      <c r="A120" s="64"/>
      <c r="B120" s="18"/>
      <c r="C120" s="68"/>
      <c r="D120" s="18"/>
      <c r="E120" s="18"/>
      <c r="F120" s="18"/>
      <c r="G120" s="19"/>
    </row>
    <row r="121" spans="1:7">
      <c r="A121" s="64"/>
      <c r="B121" s="18"/>
      <c r="C121" s="68"/>
      <c r="D121" s="18"/>
      <c r="E121" s="18"/>
      <c r="F121" s="18"/>
      <c r="G121" s="19"/>
    </row>
    <row r="122" spans="1:7">
      <c r="A122" s="64"/>
      <c r="B122" s="18"/>
      <c r="C122" s="68"/>
      <c r="D122" s="18"/>
      <c r="E122" s="18"/>
      <c r="F122" s="18"/>
      <c r="G122" s="19"/>
    </row>
    <row r="123" spans="1:7">
      <c r="A123" s="64"/>
      <c r="B123" s="18"/>
      <c r="C123" s="68"/>
      <c r="D123" s="18"/>
      <c r="E123" s="18"/>
      <c r="F123" s="18"/>
      <c r="G123" s="19"/>
    </row>
    <row r="124" spans="1:7">
      <c r="A124" s="64"/>
      <c r="B124" s="18"/>
      <c r="C124" s="68"/>
      <c r="D124" s="18"/>
      <c r="E124" s="18"/>
      <c r="F124" s="18"/>
      <c r="G124" s="19"/>
    </row>
    <row r="125" spans="1:7">
      <c r="A125" s="64"/>
      <c r="B125" s="18"/>
      <c r="C125" s="68"/>
      <c r="D125" s="18"/>
      <c r="E125" s="18"/>
      <c r="F125" s="18"/>
      <c r="G125" s="19"/>
    </row>
    <row r="126" spans="1:7">
      <c r="A126" s="64"/>
      <c r="B126" s="18"/>
      <c r="C126" s="68"/>
      <c r="D126" s="18"/>
      <c r="E126" s="18"/>
      <c r="F126" s="18"/>
      <c r="G126" s="19"/>
    </row>
    <row r="127" spans="1:7">
      <c r="A127" s="64"/>
      <c r="B127" s="18"/>
      <c r="C127" s="68"/>
      <c r="D127" s="18"/>
      <c r="E127" s="18"/>
      <c r="F127" s="18"/>
      <c r="G127" s="19"/>
    </row>
    <row r="128" spans="1:7">
      <c r="A128" s="64"/>
      <c r="B128" s="18"/>
      <c r="C128" s="68"/>
      <c r="D128" s="18"/>
      <c r="E128" s="18"/>
      <c r="F128" s="18"/>
      <c r="G128" s="19"/>
    </row>
    <row r="129" spans="1:7">
      <c r="A129" s="64"/>
      <c r="B129" s="18"/>
      <c r="C129" s="68"/>
      <c r="D129" s="18"/>
      <c r="E129" s="18"/>
      <c r="F129" s="18"/>
      <c r="G129" s="19"/>
    </row>
    <row r="130" spans="1:7">
      <c r="A130" s="64"/>
      <c r="B130" s="18"/>
      <c r="C130" s="68"/>
      <c r="D130" s="18"/>
      <c r="E130" s="18"/>
      <c r="F130" s="18"/>
      <c r="G130" s="19"/>
    </row>
    <row r="131" spans="1:7">
      <c r="A131" s="64"/>
      <c r="B131" s="18"/>
      <c r="C131" s="68"/>
      <c r="D131" s="18"/>
      <c r="E131" s="18"/>
      <c r="F131" s="18"/>
      <c r="G131" s="19"/>
    </row>
    <row r="132" spans="1:7">
      <c r="A132" s="64"/>
      <c r="B132" s="18"/>
      <c r="C132" s="68"/>
      <c r="D132" s="18"/>
      <c r="E132" s="18"/>
      <c r="F132" s="18"/>
      <c r="G132" s="19"/>
    </row>
    <row r="133" spans="1:7">
      <c r="A133" s="64"/>
      <c r="B133" s="18"/>
      <c r="C133" s="68"/>
      <c r="D133" s="18"/>
      <c r="E133" s="18"/>
      <c r="F133" s="18"/>
      <c r="G133" s="19"/>
    </row>
    <row r="134" spans="1:7">
      <c r="A134" s="64"/>
      <c r="B134" s="18"/>
      <c r="C134" s="68"/>
      <c r="D134" s="18"/>
      <c r="E134" s="18"/>
      <c r="F134" s="18"/>
      <c r="G134" s="19"/>
    </row>
    <row r="135" spans="1:7">
      <c r="A135" s="64"/>
      <c r="B135" s="18"/>
      <c r="C135" s="68"/>
      <c r="D135" s="18"/>
      <c r="E135" s="18"/>
      <c r="F135" s="18"/>
      <c r="G135" s="19"/>
    </row>
    <row r="136" spans="1:7">
      <c r="A136" s="64"/>
      <c r="B136" s="18"/>
      <c r="C136" s="68"/>
      <c r="D136" s="18"/>
      <c r="E136" s="18"/>
      <c r="F136" s="18"/>
      <c r="G136" s="19"/>
    </row>
    <row r="137" spans="1:7">
      <c r="A137" s="64"/>
      <c r="B137" s="18"/>
      <c r="C137" s="68"/>
      <c r="D137" s="18"/>
      <c r="E137" s="18"/>
      <c r="F137" s="18"/>
      <c r="G137" s="19"/>
    </row>
    <row r="138" spans="1:7">
      <c r="A138" s="64"/>
      <c r="B138" s="18"/>
      <c r="C138" s="68"/>
      <c r="D138" s="18"/>
      <c r="E138" s="18"/>
      <c r="F138" s="18"/>
      <c r="G138" s="19"/>
    </row>
    <row r="139" spans="1:7">
      <c r="A139" s="64"/>
      <c r="B139" s="18"/>
      <c r="C139" s="68"/>
      <c r="D139" s="18"/>
      <c r="E139" s="18"/>
      <c r="F139" s="18"/>
      <c r="G139" s="19"/>
    </row>
    <row r="140" spans="1:7">
      <c r="A140" s="64"/>
      <c r="B140" s="18"/>
      <c r="C140" s="68"/>
      <c r="D140" s="18"/>
      <c r="E140" s="18"/>
      <c r="F140" s="18"/>
      <c r="G140" s="19"/>
    </row>
    <row r="141" spans="1:7">
      <c r="A141" s="64"/>
      <c r="B141" s="18"/>
      <c r="C141" s="68"/>
      <c r="D141" s="18"/>
      <c r="E141" s="18"/>
      <c r="F141" s="18"/>
      <c r="G141" s="19"/>
    </row>
    <row r="142" spans="1:7">
      <c r="A142" s="64"/>
      <c r="B142" s="18"/>
      <c r="C142" s="68"/>
      <c r="D142" s="18"/>
      <c r="E142" s="18"/>
      <c r="F142" s="18"/>
      <c r="G142" s="19"/>
    </row>
    <row r="143" spans="1:7">
      <c r="A143" s="64"/>
      <c r="B143" s="18"/>
      <c r="C143" s="68"/>
      <c r="D143" s="18"/>
      <c r="E143" s="18"/>
      <c r="F143" s="18"/>
      <c r="G143" s="19"/>
    </row>
    <row r="144" spans="1:7">
      <c r="A144" s="64"/>
      <c r="B144" s="18"/>
      <c r="C144" s="68"/>
      <c r="D144" s="18"/>
      <c r="E144" s="18"/>
      <c r="F144" s="18"/>
      <c r="G144" s="19"/>
    </row>
    <row r="145" spans="1:7">
      <c r="A145" s="64"/>
      <c r="B145" s="18"/>
      <c r="C145" s="68"/>
      <c r="D145" s="18"/>
      <c r="E145" s="18"/>
      <c r="F145" s="18"/>
      <c r="G145" s="19"/>
    </row>
    <row r="146" spans="1:7">
      <c r="A146" s="64"/>
      <c r="B146" s="18"/>
      <c r="C146" s="68"/>
      <c r="D146" s="18"/>
      <c r="E146" s="18"/>
      <c r="F146" s="18"/>
      <c r="G146" s="19"/>
    </row>
    <row r="147" spans="1:7">
      <c r="A147" s="64"/>
      <c r="B147" s="18"/>
      <c r="C147" s="68"/>
      <c r="D147" s="18"/>
      <c r="E147" s="18"/>
      <c r="F147" s="18"/>
      <c r="G147" s="19"/>
    </row>
    <row r="148" spans="1:7">
      <c r="A148" s="64"/>
      <c r="B148" s="18"/>
      <c r="C148" s="68"/>
      <c r="D148" s="18"/>
      <c r="E148" s="18"/>
      <c r="F148" s="18"/>
      <c r="G148" s="19"/>
    </row>
    <row r="149" spans="1:7">
      <c r="A149" s="64"/>
      <c r="B149" s="18"/>
      <c r="C149" s="68"/>
      <c r="D149" s="18"/>
      <c r="E149" s="18"/>
      <c r="F149" s="18"/>
      <c r="G149" s="19"/>
    </row>
    <row r="150" spans="1:7">
      <c r="A150" s="64"/>
      <c r="B150" s="18"/>
      <c r="C150" s="68"/>
      <c r="D150" s="18"/>
      <c r="E150" s="18"/>
      <c r="F150" s="18"/>
      <c r="G150" s="19"/>
    </row>
    <row r="151" spans="1:7">
      <c r="A151" s="64"/>
      <c r="B151" s="18"/>
      <c r="C151" s="68"/>
      <c r="D151" s="18"/>
      <c r="E151" s="18"/>
      <c r="F151" s="18"/>
      <c r="G151" s="19"/>
    </row>
    <row r="152" spans="1:7">
      <c r="A152" s="64"/>
      <c r="B152" s="18"/>
      <c r="C152" s="68"/>
      <c r="D152" s="18"/>
      <c r="E152" s="18"/>
      <c r="F152" s="18"/>
      <c r="G152" s="19"/>
    </row>
    <row r="153" spans="1:7">
      <c r="A153" s="64"/>
      <c r="B153" s="18"/>
      <c r="C153" s="68"/>
      <c r="D153" s="18"/>
      <c r="E153" s="18"/>
      <c r="F153" s="18"/>
      <c r="G153" s="19"/>
    </row>
    <row r="154" spans="1:7">
      <c r="A154" s="64"/>
      <c r="B154" s="18"/>
      <c r="C154" s="68"/>
      <c r="D154" s="18"/>
      <c r="E154" s="18"/>
      <c r="F154" s="18"/>
      <c r="G154" s="19"/>
    </row>
    <row r="155" spans="1:7">
      <c r="A155" s="64"/>
      <c r="B155" s="18"/>
      <c r="C155" s="68"/>
      <c r="D155" s="18"/>
      <c r="E155" s="18"/>
      <c r="F155" s="18"/>
      <c r="G155" s="19"/>
    </row>
    <row r="156" spans="1:7">
      <c r="A156" s="64"/>
      <c r="B156" s="18"/>
      <c r="C156" s="68"/>
      <c r="D156" s="18"/>
      <c r="E156" s="18"/>
      <c r="F156" s="18"/>
      <c r="G156" s="19"/>
    </row>
    <row r="157" spans="1:7">
      <c r="A157" s="64"/>
      <c r="B157" s="18"/>
      <c r="C157" s="68"/>
      <c r="D157" s="18"/>
      <c r="E157" s="18"/>
      <c r="F157" s="18"/>
      <c r="G157" s="19"/>
    </row>
    <row r="158" spans="1:7">
      <c r="A158" s="64"/>
      <c r="B158" s="18"/>
      <c r="C158" s="68"/>
      <c r="D158" s="18"/>
      <c r="E158" s="18"/>
      <c r="F158" s="18"/>
      <c r="G158" s="19"/>
    </row>
    <row r="159" spans="1:7">
      <c r="A159" s="64"/>
      <c r="B159" s="18"/>
      <c r="C159" s="68"/>
      <c r="D159" s="18"/>
      <c r="E159" s="18"/>
      <c r="F159" s="18"/>
      <c r="G159" s="19"/>
    </row>
    <row r="160" spans="1:7">
      <c r="A160" s="64"/>
      <c r="B160" s="18"/>
      <c r="C160" s="68"/>
      <c r="D160" s="18"/>
      <c r="E160" s="18"/>
      <c r="F160" s="18"/>
      <c r="G160" s="19"/>
    </row>
    <row r="161" spans="1:7">
      <c r="A161" s="64"/>
      <c r="B161" s="18"/>
      <c r="C161" s="68"/>
      <c r="D161" s="18"/>
      <c r="E161" s="18"/>
      <c r="F161" s="18"/>
      <c r="G161" s="19"/>
    </row>
    <row r="162" spans="1:7">
      <c r="A162" s="64"/>
      <c r="B162" s="18"/>
      <c r="C162" s="68"/>
      <c r="D162" s="18"/>
      <c r="E162" s="18"/>
      <c r="F162" s="18"/>
      <c r="G162" s="19"/>
    </row>
    <row r="163" spans="1:7">
      <c r="A163" s="64"/>
      <c r="B163" s="18"/>
      <c r="C163" s="68"/>
      <c r="D163" s="18"/>
      <c r="E163" s="18"/>
      <c r="F163" s="18"/>
      <c r="G163" s="19"/>
    </row>
    <row r="164" spans="1:7">
      <c r="A164" s="64"/>
      <c r="B164" s="18"/>
      <c r="C164" s="68"/>
      <c r="D164" s="18"/>
      <c r="E164" s="18"/>
      <c r="F164" s="18"/>
      <c r="G164" s="19"/>
    </row>
    <row r="165" spans="1:7">
      <c r="A165" s="64"/>
      <c r="B165" s="18"/>
      <c r="C165" s="68"/>
      <c r="D165" s="18"/>
      <c r="E165" s="18"/>
      <c r="F165" s="18"/>
      <c r="G165" s="19"/>
    </row>
    <row r="166" spans="1:7">
      <c r="A166" s="64"/>
      <c r="B166" s="18"/>
      <c r="C166" s="68"/>
      <c r="D166" s="18"/>
      <c r="E166" s="18"/>
      <c r="F166" s="18"/>
      <c r="G166" s="19"/>
    </row>
    <row r="167" spans="1:7">
      <c r="A167" s="64"/>
      <c r="B167" s="18"/>
      <c r="C167" s="68"/>
      <c r="D167" s="18"/>
      <c r="E167" s="18"/>
      <c r="F167" s="18"/>
      <c r="G167" s="19"/>
    </row>
    <row r="168" spans="1:7">
      <c r="A168" s="64"/>
      <c r="B168" s="18"/>
      <c r="C168" s="68"/>
      <c r="D168" s="18"/>
      <c r="E168" s="18"/>
      <c r="F168" s="18"/>
      <c r="G168" s="19"/>
    </row>
    <row r="169" spans="1:7">
      <c r="A169" s="64"/>
      <c r="B169" s="18"/>
      <c r="C169" s="68"/>
      <c r="D169" s="18"/>
      <c r="E169" s="18"/>
      <c r="F169" s="18"/>
      <c r="G169" s="19"/>
    </row>
    <row r="170" spans="1:7">
      <c r="A170" s="64"/>
      <c r="B170" s="18"/>
      <c r="C170" s="68"/>
      <c r="D170" s="18"/>
      <c r="E170" s="18"/>
      <c r="F170" s="18"/>
      <c r="G170" s="19"/>
    </row>
    <row r="171" spans="1:7">
      <c r="A171" s="64"/>
      <c r="B171" s="18"/>
      <c r="C171" s="68"/>
      <c r="D171" s="18"/>
      <c r="E171" s="18"/>
      <c r="F171" s="18"/>
      <c r="G171" s="19"/>
    </row>
    <row r="172" spans="1:7">
      <c r="A172" s="64"/>
      <c r="B172" s="18"/>
      <c r="C172" s="68"/>
      <c r="D172" s="18"/>
      <c r="E172" s="18"/>
      <c r="F172" s="18"/>
      <c r="G172" s="19"/>
    </row>
    <row r="173" spans="1:7">
      <c r="A173" s="64"/>
      <c r="B173" s="18"/>
      <c r="C173" s="68"/>
      <c r="D173" s="18"/>
      <c r="E173" s="18"/>
      <c r="F173" s="18"/>
      <c r="G173" s="19"/>
    </row>
    <row r="174" spans="1:7">
      <c r="A174" s="64"/>
      <c r="B174" s="18"/>
      <c r="C174" s="68"/>
      <c r="D174" s="18"/>
      <c r="E174" s="18"/>
      <c r="F174" s="18"/>
      <c r="G174" s="19"/>
    </row>
    <row r="175" spans="1:7">
      <c r="A175" s="64"/>
      <c r="B175" s="18"/>
      <c r="C175" s="68"/>
      <c r="D175" s="18"/>
      <c r="E175" s="18"/>
      <c r="F175" s="18"/>
      <c r="G175" s="19"/>
    </row>
    <row r="176" spans="1:7">
      <c r="A176" s="64"/>
      <c r="B176" s="18"/>
      <c r="C176" s="68"/>
      <c r="D176" s="18"/>
      <c r="E176" s="18"/>
      <c r="F176" s="18"/>
      <c r="G176" s="19"/>
    </row>
    <row r="177" spans="1:7">
      <c r="A177" s="64"/>
      <c r="B177" s="18"/>
      <c r="C177" s="68"/>
      <c r="D177" s="18"/>
      <c r="E177" s="18"/>
      <c r="F177" s="18"/>
      <c r="G177" s="19"/>
    </row>
    <row r="178" spans="1:7">
      <c r="A178" s="64"/>
      <c r="B178" s="18"/>
      <c r="C178" s="68"/>
      <c r="D178" s="18"/>
      <c r="E178" s="18"/>
      <c r="F178" s="18"/>
      <c r="G178" s="19"/>
    </row>
    <row r="179" spans="1:7">
      <c r="A179" s="64"/>
      <c r="B179" s="18"/>
      <c r="C179" s="68"/>
      <c r="D179" s="18"/>
      <c r="E179" s="18"/>
      <c r="F179" s="18"/>
      <c r="G179" s="19"/>
    </row>
    <row r="180" spans="1:7">
      <c r="A180" s="64"/>
      <c r="B180" s="18"/>
      <c r="C180" s="68"/>
      <c r="D180" s="18"/>
      <c r="E180" s="18"/>
      <c r="F180" s="18"/>
      <c r="G180" s="19"/>
    </row>
    <row r="181" spans="1:7">
      <c r="A181" s="64"/>
      <c r="B181" s="18"/>
      <c r="C181" s="68"/>
      <c r="D181" s="18"/>
      <c r="E181" s="18"/>
      <c r="F181" s="18"/>
      <c r="G181" s="19"/>
    </row>
    <row r="182" spans="1:7">
      <c r="A182" s="64"/>
      <c r="B182" s="18"/>
      <c r="C182" s="68"/>
      <c r="D182" s="18"/>
      <c r="E182" s="18"/>
      <c r="F182" s="18"/>
      <c r="G182" s="19"/>
    </row>
    <row r="183" spans="1:7">
      <c r="A183" s="64"/>
      <c r="B183" s="18"/>
      <c r="C183" s="68"/>
      <c r="D183" s="18"/>
      <c r="E183" s="18"/>
      <c r="F183" s="18"/>
      <c r="G183" s="19"/>
    </row>
    <row r="184" spans="1:7">
      <c r="A184" s="64"/>
      <c r="B184" s="18"/>
      <c r="C184" s="68"/>
      <c r="D184" s="18"/>
      <c r="E184" s="18"/>
      <c r="F184" s="18"/>
      <c r="G184" s="19"/>
    </row>
    <row r="185" spans="1:7">
      <c r="A185" s="64"/>
      <c r="B185" s="18"/>
      <c r="C185" s="68"/>
      <c r="D185" s="18"/>
      <c r="E185" s="18"/>
      <c r="F185" s="18"/>
      <c r="G185" s="19"/>
    </row>
    <row r="186" spans="1:7">
      <c r="A186" s="64"/>
      <c r="B186" s="18"/>
      <c r="C186" s="68"/>
      <c r="D186" s="18"/>
      <c r="E186" s="18"/>
      <c r="F186" s="18"/>
      <c r="G186" s="19"/>
    </row>
    <row r="187" spans="1:7">
      <c r="A187" s="64"/>
      <c r="B187" s="18"/>
      <c r="C187" s="68"/>
      <c r="D187" s="18"/>
      <c r="E187" s="18"/>
      <c r="F187" s="18"/>
      <c r="G187" s="19"/>
    </row>
    <row r="188" spans="1:7">
      <c r="A188" s="64"/>
      <c r="B188" s="18"/>
      <c r="C188" s="68"/>
      <c r="D188" s="18"/>
      <c r="E188" s="18"/>
      <c r="F188" s="18"/>
      <c r="G188" s="19"/>
    </row>
    <row r="189" spans="1:7">
      <c r="A189" s="64"/>
      <c r="B189" s="18"/>
      <c r="C189" s="68"/>
      <c r="D189" s="18"/>
      <c r="E189" s="18"/>
      <c r="F189" s="18"/>
      <c r="G189" s="19"/>
    </row>
    <row r="190" spans="1:7">
      <c r="A190" s="64"/>
      <c r="B190" s="18"/>
      <c r="C190" s="68"/>
      <c r="D190" s="18"/>
      <c r="E190" s="18"/>
      <c r="F190" s="18"/>
      <c r="G190" s="19"/>
    </row>
    <row r="191" spans="1:7">
      <c r="A191" s="64"/>
      <c r="B191" s="18"/>
      <c r="C191" s="68"/>
      <c r="D191" s="18"/>
      <c r="E191" s="18"/>
      <c r="F191" s="18"/>
      <c r="G191" s="19"/>
    </row>
    <row r="192" spans="1:7">
      <c r="A192" s="64"/>
      <c r="B192" s="18"/>
      <c r="C192" s="68"/>
      <c r="D192" s="18"/>
      <c r="E192" s="18"/>
      <c r="F192" s="18"/>
      <c r="G192" s="19"/>
    </row>
    <row r="193" spans="1:7">
      <c r="A193" s="64"/>
      <c r="B193" s="18"/>
      <c r="C193" s="68"/>
      <c r="D193" s="18"/>
      <c r="E193" s="18"/>
      <c r="F193" s="18"/>
      <c r="G193" s="19"/>
    </row>
    <row r="194" spans="1:7">
      <c r="A194" s="64"/>
      <c r="B194" s="18"/>
      <c r="C194" s="68"/>
      <c r="D194" s="18"/>
      <c r="E194" s="18"/>
      <c r="F194" s="18"/>
      <c r="G194" s="19"/>
    </row>
    <row r="195" spans="1:7">
      <c r="A195" s="64"/>
      <c r="B195" s="18"/>
      <c r="C195" s="68"/>
      <c r="D195" s="18"/>
      <c r="E195" s="18"/>
      <c r="F195" s="18"/>
      <c r="G195" s="19"/>
    </row>
    <row r="196" spans="1:7">
      <c r="A196" s="64"/>
      <c r="B196" s="18"/>
      <c r="C196" s="68"/>
      <c r="D196" s="18"/>
      <c r="E196" s="18"/>
      <c r="F196" s="18"/>
      <c r="G196" s="19"/>
    </row>
    <row r="197" spans="1:7">
      <c r="A197" s="64"/>
      <c r="B197" s="18"/>
      <c r="C197" s="68"/>
      <c r="D197" s="18"/>
      <c r="E197" s="18"/>
      <c r="F197" s="18"/>
      <c r="G197" s="19"/>
    </row>
    <row r="198" spans="1:7">
      <c r="A198" s="64"/>
      <c r="B198" s="18"/>
      <c r="C198" s="68"/>
      <c r="D198" s="18"/>
      <c r="E198" s="18"/>
      <c r="F198" s="18"/>
      <c r="G198" s="19"/>
    </row>
    <row r="199" spans="1:7">
      <c r="A199" s="64"/>
      <c r="B199" s="18"/>
      <c r="C199" s="68"/>
      <c r="D199" s="18"/>
      <c r="E199" s="18"/>
      <c r="F199" s="18"/>
      <c r="G199" s="19"/>
    </row>
    <row r="200" spans="1:7">
      <c r="A200" s="64"/>
      <c r="B200" s="18"/>
      <c r="C200" s="68"/>
      <c r="D200" s="18"/>
      <c r="E200" s="18"/>
      <c r="F200" s="18"/>
      <c r="G200" s="19"/>
    </row>
    <row r="201" spans="1:7">
      <c r="A201" s="64"/>
      <c r="B201" s="18"/>
      <c r="C201" s="68"/>
      <c r="D201" s="18"/>
      <c r="E201" s="18"/>
      <c r="F201" s="18"/>
      <c r="G201" s="19"/>
    </row>
    <row r="202" spans="1:7">
      <c r="A202" s="64"/>
      <c r="B202" s="18"/>
      <c r="C202" s="68"/>
      <c r="D202" s="18"/>
      <c r="E202" s="18"/>
      <c r="F202" s="18"/>
      <c r="G202" s="19"/>
    </row>
    <row r="203" spans="1:7">
      <c r="A203" s="64"/>
      <c r="B203" s="18"/>
      <c r="C203" s="68"/>
      <c r="D203" s="18"/>
      <c r="E203" s="18"/>
      <c r="F203" s="18"/>
      <c r="G203" s="19"/>
    </row>
    <row r="204" spans="1:7">
      <c r="A204" s="64"/>
      <c r="B204" s="18"/>
      <c r="C204" s="68"/>
      <c r="D204" s="18"/>
      <c r="E204" s="18"/>
      <c r="F204" s="18"/>
      <c r="G204" s="19"/>
    </row>
    <row r="205" spans="1:7">
      <c r="A205" s="64"/>
      <c r="B205" s="18"/>
      <c r="C205" s="68"/>
      <c r="D205" s="18"/>
      <c r="E205" s="18"/>
      <c r="F205" s="18"/>
      <c r="G205" s="19"/>
    </row>
    <row r="206" spans="1:7">
      <c r="A206" s="64"/>
      <c r="B206" s="18"/>
      <c r="C206" s="68"/>
      <c r="D206" s="18"/>
      <c r="E206" s="18"/>
      <c r="F206" s="18"/>
      <c r="G206" s="19"/>
    </row>
    <row r="207" spans="1:7">
      <c r="A207" s="64"/>
      <c r="B207" s="18"/>
      <c r="C207" s="68"/>
      <c r="D207" s="18"/>
      <c r="E207" s="18"/>
      <c r="F207" s="18"/>
      <c r="G207" s="19"/>
    </row>
    <row r="208" spans="1:7">
      <c r="A208" s="64"/>
      <c r="B208" s="18"/>
      <c r="C208" s="68"/>
      <c r="D208" s="18"/>
      <c r="E208" s="18"/>
      <c r="F208" s="18"/>
      <c r="G208" s="19"/>
    </row>
    <row r="209" spans="1:7">
      <c r="A209" s="64"/>
      <c r="B209" s="18"/>
      <c r="C209" s="68"/>
      <c r="D209" s="18"/>
      <c r="E209" s="18"/>
      <c r="F209" s="18"/>
      <c r="G209" s="19"/>
    </row>
    <row r="210" spans="1:7">
      <c r="A210" s="64"/>
      <c r="B210" s="18"/>
      <c r="C210" s="68"/>
      <c r="D210" s="18"/>
      <c r="E210" s="18"/>
      <c r="F210" s="18"/>
      <c r="G210" s="19"/>
    </row>
    <row r="211" spans="1:7">
      <c r="A211" s="64"/>
      <c r="B211" s="18"/>
      <c r="C211" s="68"/>
      <c r="D211" s="18"/>
      <c r="E211" s="18"/>
      <c r="F211" s="18"/>
      <c r="G211" s="19"/>
    </row>
    <row r="212" spans="1:7">
      <c r="A212" s="64"/>
      <c r="B212" s="18"/>
      <c r="C212" s="68"/>
      <c r="D212" s="18"/>
      <c r="E212" s="18"/>
      <c r="F212" s="18"/>
      <c r="G212" s="19"/>
    </row>
    <row r="213" spans="1:7">
      <c r="A213" s="64"/>
      <c r="B213" s="18"/>
      <c r="C213" s="68"/>
      <c r="D213" s="18"/>
      <c r="E213" s="18"/>
      <c r="F213" s="18"/>
      <c r="G213" s="19"/>
    </row>
    <row r="214" spans="1:7">
      <c r="A214" s="64"/>
      <c r="B214" s="18"/>
      <c r="C214" s="68"/>
      <c r="D214" s="18"/>
      <c r="E214" s="18"/>
      <c r="F214" s="18"/>
      <c r="G214" s="19"/>
    </row>
    <row r="215" spans="1:7">
      <c r="A215" s="64"/>
      <c r="B215" s="18"/>
      <c r="C215" s="68"/>
      <c r="D215" s="18"/>
      <c r="E215" s="18"/>
      <c r="F215" s="18"/>
      <c r="G215" s="19"/>
    </row>
    <row r="216" spans="1:7">
      <c r="A216" s="64"/>
      <c r="B216" s="18"/>
      <c r="C216" s="68"/>
      <c r="D216" s="18"/>
      <c r="E216" s="18"/>
      <c r="F216" s="18"/>
      <c r="G216" s="19"/>
    </row>
    <row r="217" spans="1:7">
      <c r="A217" s="64"/>
      <c r="B217" s="18"/>
      <c r="C217" s="68"/>
      <c r="D217" s="18"/>
      <c r="E217" s="18"/>
      <c r="F217" s="18"/>
      <c r="G217" s="19"/>
    </row>
    <row r="218" spans="1:7">
      <c r="A218" s="64"/>
      <c r="B218" s="18"/>
      <c r="C218" s="68"/>
      <c r="D218" s="18"/>
      <c r="E218" s="18"/>
      <c r="F218" s="18"/>
      <c r="G218" s="19"/>
    </row>
    <row r="219" spans="1:7">
      <c r="A219" s="64"/>
      <c r="B219" s="18"/>
      <c r="C219" s="68"/>
      <c r="D219" s="18"/>
      <c r="E219" s="18"/>
      <c r="F219" s="18"/>
      <c r="G219" s="19"/>
    </row>
    <row r="220" spans="1:7">
      <c r="A220" s="64"/>
      <c r="B220" s="18"/>
      <c r="C220" s="68"/>
      <c r="D220" s="18"/>
      <c r="E220" s="18"/>
      <c r="F220" s="18"/>
      <c r="G220" s="19"/>
    </row>
    <row r="221" spans="1:7">
      <c r="A221" s="64"/>
      <c r="B221" s="18"/>
      <c r="C221" s="68"/>
      <c r="D221" s="18"/>
      <c r="E221" s="18"/>
      <c r="F221" s="18"/>
      <c r="G221" s="19"/>
    </row>
    <row r="222" spans="1:7">
      <c r="A222" s="64"/>
      <c r="B222" s="18"/>
      <c r="C222" s="68"/>
      <c r="D222" s="18"/>
      <c r="E222" s="18"/>
      <c r="F222" s="18"/>
      <c r="G222" s="19"/>
    </row>
    <row r="223" spans="1:7">
      <c r="A223" s="64"/>
      <c r="B223" s="18"/>
      <c r="C223" s="68"/>
      <c r="D223" s="18"/>
      <c r="E223" s="18"/>
      <c r="F223" s="18"/>
      <c r="G223" s="19"/>
    </row>
    <row r="224" spans="1:7">
      <c r="A224" s="64"/>
      <c r="B224" s="18"/>
      <c r="C224" s="68"/>
      <c r="D224" s="18"/>
      <c r="E224" s="18"/>
      <c r="F224" s="18"/>
      <c r="G224" s="19"/>
    </row>
    <row r="225" spans="1:7">
      <c r="A225" s="64"/>
      <c r="B225" s="18"/>
      <c r="C225" s="68"/>
      <c r="D225" s="18"/>
      <c r="E225" s="18"/>
      <c r="F225" s="18"/>
      <c r="G225" s="19"/>
    </row>
    <row r="226" spans="1:7">
      <c r="A226" s="64"/>
      <c r="B226" s="18"/>
      <c r="C226" s="68"/>
      <c r="D226" s="18"/>
      <c r="E226" s="18"/>
      <c r="F226" s="18"/>
      <c r="G226" s="19"/>
    </row>
    <row r="227" spans="1:7">
      <c r="A227" s="64"/>
      <c r="B227" s="18"/>
      <c r="C227" s="68"/>
      <c r="D227" s="18"/>
      <c r="E227" s="18"/>
      <c r="F227" s="18"/>
      <c r="G227" s="19"/>
    </row>
    <row r="228" spans="1:7">
      <c r="A228" s="64"/>
      <c r="B228" s="18"/>
      <c r="C228" s="68"/>
      <c r="D228" s="18"/>
      <c r="E228" s="18"/>
      <c r="F228" s="18"/>
      <c r="G228" s="19"/>
    </row>
    <row r="229" spans="1:7">
      <c r="A229" s="64"/>
      <c r="B229" s="18"/>
      <c r="C229" s="68"/>
      <c r="D229" s="18"/>
      <c r="E229" s="18"/>
      <c r="F229" s="18"/>
      <c r="G229" s="19"/>
    </row>
    <row r="230" spans="1:7">
      <c r="A230" s="64"/>
      <c r="B230" s="18"/>
      <c r="C230" s="68"/>
      <c r="D230" s="18"/>
      <c r="E230" s="18"/>
      <c r="F230" s="18"/>
      <c r="G230" s="19"/>
    </row>
    <row r="231" spans="1:7">
      <c r="A231" s="64"/>
      <c r="B231" s="18"/>
      <c r="C231" s="68"/>
      <c r="D231" s="18"/>
      <c r="E231" s="18"/>
      <c r="F231" s="18"/>
      <c r="G231" s="19"/>
    </row>
    <row r="232" spans="1:7">
      <c r="A232" s="64"/>
      <c r="B232" s="18"/>
      <c r="C232" s="68"/>
      <c r="D232" s="18"/>
      <c r="E232" s="18"/>
      <c r="F232" s="18"/>
      <c r="G232" s="19"/>
    </row>
    <row r="233" spans="1:7">
      <c r="A233" s="64"/>
      <c r="B233" s="18"/>
      <c r="C233" s="68"/>
      <c r="D233" s="18"/>
      <c r="E233" s="18"/>
      <c r="F233" s="18"/>
      <c r="G233" s="19"/>
    </row>
    <row r="234" spans="1:7">
      <c r="A234" s="64"/>
      <c r="B234" s="18"/>
      <c r="C234" s="68"/>
      <c r="D234" s="18"/>
      <c r="E234" s="18"/>
      <c r="F234" s="18"/>
      <c r="G234" s="19"/>
    </row>
    <row r="235" spans="1:7">
      <c r="A235" s="64"/>
      <c r="B235" s="18"/>
      <c r="C235" s="68"/>
      <c r="D235" s="18"/>
      <c r="E235" s="18"/>
      <c r="F235" s="18"/>
      <c r="G235" s="19"/>
    </row>
    <row r="236" spans="1:7">
      <c r="A236" s="64"/>
      <c r="B236" s="18"/>
      <c r="C236" s="68"/>
      <c r="D236" s="18"/>
      <c r="E236" s="18"/>
      <c r="F236" s="18"/>
      <c r="G236" s="19"/>
    </row>
    <row r="237" spans="1:7">
      <c r="A237" s="64"/>
      <c r="B237" s="18"/>
      <c r="C237" s="68"/>
      <c r="D237" s="18"/>
      <c r="E237" s="18"/>
      <c r="F237" s="18"/>
      <c r="G237" s="19"/>
    </row>
    <row r="238" spans="1:7">
      <c r="A238" s="64"/>
      <c r="B238" s="18"/>
      <c r="C238" s="68"/>
      <c r="D238" s="18"/>
      <c r="E238" s="18"/>
      <c r="F238" s="18"/>
      <c r="G238" s="19"/>
    </row>
    <row r="239" spans="1:7">
      <c r="A239" s="64"/>
      <c r="B239" s="18"/>
      <c r="C239" s="68"/>
      <c r="D239" s="18"/>
      <c r="E239" s="18"/>
      <c r="F239" s="18"/>
      <c r="G239" s="19"/>
    </row>
    <row r="240" spans="1:7">
      <c r="A240" s="64"/>
      <c r="B240" s="18"/>
      <c r="C240" s="68"/>
      <c r="D240" s="18"/>
      <c r="E240" s="18"/>
      <c r="F240" s="18"/>
      <c r="G240" s="19"/>
    </row>
    <row r="241" spans="1:7">
      <c r="A241" s="64"/>
      <c r="B241" s="18"/>
      <c r="C241" s="68"/>
      <c r="D241" s="18"/>
      <c r="E241" s="18"/>
      <c r="F241" s="18"/>
      <c r="G241" s="19"/>
    </row>
    <row r="242" spans="1:7">
      <c r="A242" s="64"/>
      <c r="B242" s="18"/>
      <c r="C242" s="68"/>
      <c r="D242" s="18"/>
      <c r="E242" s="18"/>
      <c r="F242" s="18"/>
      <c r="G242" s="19"/>
    </row>
    <row r="243" spans="1:7">
      <c r="A243" s="64"/>
      <c r="B243" s="18"/>
      <c r="C243" s="68"/>
      <c r="D243" s="18"/>
      <c r="E243" s="18"/>
      <c r="F243" s="18"/>
      <c r="G243" s="19"/>
    </row>
    <row r="244" spans="1:7">
      <c r="A244" s="64"/>
      <c r="B244" s="18"/>
      <c r="C244" s="68"/>
      <c r="D244" s="18"/>
      <c r="E244" s="18"/>
      <c r="F244" s="18"/>
      <c r="G244" s="19"/>
    </row>
    <row r="245" spans="1:7">
      <c r="A245" s="64"/>
      <c r="B245" s="18"/>
      <c r="C245" s="68"/>
      <c r="D245" s="18"/>
      <c r="E245" s="18"/>
      <c r="F245" s="18"/>
      <c r="G245" s="19"/>
    </row>
    <row r="246" spans="1:7">
      <c r="A246" s="64"/>
      <c r="B246" s="18"/>
      <c r="C246" s="68"/>
      <c r="D246" s="18"/>
      <c r="E246" s="18"/>
      <c r="F246" s="18"/>
      <c r="G246" s="19"/>
    </row>
    <row r="247" spans="1:7">
      <c r="A247" s="64"/>
      <c r="B247" s="18"/>
      <c r="C247" s="68"/>
      <c r="D247" s="18"/>
      <c r="E247" s="18"/>
      <c r="F247" s="18"/>
      <c r="G247" s="19"/>
    </row>
    <row r="248" spans="1:7">
      <c r="A248" s="64"/>
      <c r="B248" s="18"/>
      <c r="C248" s="68"/>
      <c r="D248" s="18"/>
      <c r="E248" s="18"/>
      <c r="F248" s="18"/>
      <c r="G248" s="19"/>
    </row>
    <row r="249" spans="1:7">
      <c r="A249" s="64"/>
      <c r="B249" s="18"/>
      <c r="C249" s="68"/>
      <c r="D249" s="18"/>
      <c r="E249" s="18"/>
      <c r="F249" s="18"/>
      <c r="G249" s="19"/>
    </row>
    <row r="250" spans="1:7">
      <c r="A250" s="64"/>
      <c r="B250" s="18"/>
      <c r="C250" s="68"/>
      <c r="D250" s="18"/>
      <c r="E250" s="18"/>
      <c r="F250" s="18"/>
      <c r="G250" s="19"/>
    </row>
    <row r="251" spans="1:7">
      <c r="A251" s="64"/>
      <c r="B251" s="18"/>
      <c r="C251" s="68"/>
      <c r="D251" s="18"/>
      <c r="E251" s="18"/>
      <c r="F251" s="18"/>
      <c r="G251" s="19"/>
    </row>
    <row r="252" spans="1:7">
      <c r="A252" s="64"/>
      <c r="B252" s="18"/>
      <c r="C252" s="68"/>
      <c r="D252" s="18"/>
      <c r="E252" s="18"/>
      <c r="F252" s="18"/>
      <c r="G252" s="19"/>
    </row>
    <row r="253" spans="1:7">
      <c r="A253" s="64"/>
      <c r="B253" s="18"/>
      <c r="C253" s="68"/>
      <c r="D253" s="18"/>
      <c r="E253" s="18"/>
      <c r="F253" s="18"/>
      <c r="G253" s="19"/>
    </row>
    <row r="254" spans="1:7">
      <c r="A254" s="64"/>
      <c r="B254" s="18"/>
      <c r="C254" s="68"/>
      <c r="D254" s="18"/>
      <c r="E254" s="18"/>
      <c r="F254" s="18"/>
      <c r="G254" s="19"/>
    </row>
    <row r="255" spans="1:7">
      <c r="A255" s="64"/>
      <c r="B255" s="18"/>
      <c r="C255" s="68"/>
      <c r="D255" s="18"/>
      <c r="E255" s="18"/>
      <c r="F255" s="18"/>
      <c r="G255" s="19"/>
    </row>
    <row r="256" spans="1:7">
      <c r="A256" s="64"/>
      <c r="B256" s="18"/>
      <c r="C256" s="68"/>
      <c r="D256" s="18"/>
      <c r="E256" s="18"/>
      <c r="F256" s="18"/>
      <c r="G256" s="19"/>
    </row>
    <row r="257" spans="1:7">
      <c r="A257" s="64"/>
      <c r="B257" s="18"/>
      <c r="C257" s="68"/>
      <c r="D257" s="18"/>
      <c r="E257" s="18"/>
      <c r="F257" s="18"/>
      <c r="G257" s="19"/>
    </row>
    <row r="258" spans="1:7">
      <c r="A258" s="64"/>
      <c r="B258" s="18"/>
      <c r="C258" s="68"/>
      <c r="D258" s="18"/>
      <c r="E258" s="18"/>
      <c r="F258" s="18"/>
      <c r="G258" s="19"/>
    </row>
    <row r="259" spans="1:7">
      <c r="A259" s="64"/>
      <c r="B259" s="18"/>
      <c r="C259" s="68"/>
      <c r="D259" s="18"/>
      <c r="E259" s="18"/>
      <c r="F259" s="18"/>
      <c r="G259" s="19"/>
    </row>
    <row r="260" spans="1:7">
      <c r="A260" s="64"/>
      <c r="B260" s="18"/>
      <c r="C260" s="68"/>
      <c r="D260" s="18"/>
      <c r="E260" s="18"/>
      <c r="F260" s="18"/>
      <c r="G260" s="19"/>
    </row>
    <row r="261" spans="1:7">
      <c r="A261" s="64"/>
      <c r="B261" s="18"/>
      <c r="C261" s="68"/>
      <c r="D261" s="18"/>
      <c r="E261" s="18"/>
      <c r="F261" s="18"/>
      <c r="G261" s="19"/>
    </row>
    <row r="262" spans="1:7">
      <c r="A262" s="64"/>
      <c r="B262" s="18"/>
      <c r="C262" s="68"/>
      <c r="D262" s="18"/>
      <c r="E262" s="18"/>
      <c r="F262" s="18"/>
      <c r="G262" s="19"/>
    </row>
    <row r="263" spans="1:7">
      <c r="A263" s="64"/>
      <c r="B263" s="18"/>
      <c r="C263" s="68"/>
      <c r="D263" s="18"/>
      <c r="E263" s="18"/>
      <c r="F263" s="18"/>
      <c r="G263" s="19"/>
    </row>
    <row r="264" spans="1:7">
      <c r="A264" s="64"/>
      <c r="B264" s="18"/>
      <c r="C264" s="68"/>
      <c r="D264" s="18"/>
      <c r="E264" s="18"/>
      <c r="F264" s="18"/>
      <c r="G264" s="19"/>
    </row>
    <row r="265" spans="1:7">
      <c r="A265" s="64"/>
      <c r="B265" s="18"/>
      <c r="C265" s="68"/>
      <c r="D265" s="18"/>
      <c r="E265" s="18"/>
      <c r="F265" s="18"/>
      <c r="G265" s="19"/>
    </row>
    <row r="266" spans="1:7">
      <c r="A266" s="64"/>
      <c r="B266" s="18"/>
      <c r="C266" s="68"/>
      <c r="D266" s="18"/>
      <c r="E266" s="18"/>
      <c r="F266" s="18"/>
      <c r="G266" s="19"/>
    </row>
    <row r="267" spans="1:7">
      <c r="A267" s="64"/>
      <c r="B267" s="18"/>
      <c r="C267" s="68"/>
      <c r="D267" s="18"/>
      <c r="E267" s="18"/>
      <c r="F267" s="18"/>
      <c r="G267" s="19"/>
    </row>
    <row r="268" spans="1:7">
      <c r="A268" s="64"/>
      <c r="B268" s="18"/>
      <c r="C268" s="68"/>
      <c r="D268" s="18"/>
      <c r="E268" s="18"/>
      <c r="F268" s="18"/>
      <c r="G268" s="19"/>
    </row>
    <row r="269" spans="1:7">
      <c r="A269" s="64"/>
      <c r="B269" s="18"/>
      <c r="C269" s="68"/>
      <c r="D269" s="18"/>
      <c r="E269" s="18"/>
      <c r="F269" s="18"/>
      <c r="G269" s="19"/>
    </row>
    <row r="270" spans="1:7">
      <c r="A270" s="64"/>
      <c r="B270" s="18"/>
      <c r="C270" s="68"/>
      <c r="D270" s="18"/>
      <c r="E270" s="18"/>
      <c r="F270" s="18"/>
      <c r="G270" s="19"/>
    </row>
    <row r="271" spans="1:7">
      <c r="A271" s="64"/>
      <c r="B271" s="18"/>
      <c r="C271" s="68"/>
      <c r="D271" s="18"/>
      <c r="E271" s="18"/>
      <c r="F271" s="18"/>
      <c r="G271" s="19"/>
    </row>
    <row r="272" spans="1:7">
      <c r="A272" s="64"/>
      <c r="B272" s="18"/>
      <c r="C272" s="68"/>
      <c r="D272" s="18"/>
      <c r="E272" s="18"/>
      <c r="F272" s="18"/>
      <c r="G272" s="19"/>
    </row>
    <row r="273" spans="1:7">
      <c r="A273" s="64"/>
      <c r="B273" s="18"/>
      <c r="C273" s="68"/>
      <c r="D273" s="18"/>
      <c r="E273" s="18"/>
      <c r="F273" s="18"/>
      <c r="G273" s="19"/>
    </row>
    <row r="274" spans="1:7">
      <c r="A274" s="64"/>
      <c r="B274" s="18"/>
      <c r="C274" s="68"/>
      <c r="D274" s="18"/>
      <c r="E274" s="18"/>
      <c r="F274" s="18"/>
      <c r="G274" s="19"/>
    </row>
    <row r="275" spans="1:7">
      <c r="A275" s="64"/>
      <c r="B275" s="18"/>
      <c r="C275" s="68"/>
      <c r="D275" s="18"/>
      <c r="E275" s="18"/>
      <c r="F275" s="18"/>
      <c r="G275" s="19"/>
    </row>
    <row r="276" spans="1:7">
      <c r="A276" s="64"/>
      <c r="B276" s="18"/>
      <c r="C276" s="68"/>
      <c r="D276" s="18"/>
      <c r="E276" s="18"/>
      <c r="F276" s="18"/>
      <c r="G276" s="19"/>
    </row>
    <row r="277" spans="1:7">
      <c r="A277" s="64"/>
      <c r="B277" s="18"/>
      <c r="C277" s="68"/>
      <c r="D277" s="18"/>
      <c r="E277" s="18"/>
      <c r="F277" s="18"/>
      <c r="G277" s="19"/>
    </row>
    <row r="278" spans="1:7">
      <c r="A278" s="64"/>
      <c r="B278" s="18"/>
      <c r="C278" s="68"/>
      <c r="D278" s="18"/>
      <c r="E278" s="18"/>
      <c r="F278" s="18"/>
      <c r="G278" s="19"/>
    </row>
    <row r="279" spans="1:7">
      <c r="A279" s="64"/>
      <c r="B279" s="18"/>
      <c r="C279" s="68"/>
      <c r="D279" s="18"/>
      <c r="E279" s="18"/>
      <c r="F279" s="18"/>
      <c r="G279" s="19"/>
    </row>
    <row r="280" spans="1:7">
      <c r="A280" s="64"/>
      <c r="B280" s="18"/>
      <c r="C280" s="68"/>
      <c r="D280" s="18"/>
      <c r="E280" s="18"/>
      <c r="F280" s="18"/>
      <c r="G280" s="19"/>
    </row>
    <row r="281" spans="1:7">
      <c r="A281" s="64"/>
      <c r="B281" s="18"/>
      <c r="C281" s="68"/>
      <c r="D281" s="18"/>
      <c r="E281" s="18"/>
      <c r="F281" s="18"/>
      <c r="G281" s="19"/>
    </row>
    <row r="282" spans="1:7">
      <c r="A282" s="64"/>
      <c r="B282" s="18"/>
      <c r="C282" s="68"/>
      <c r="D282" s="18"/>
      <c r="E282" s="18"/>
      <c r="F282" s="18"/>
      <c r="G282" s="19"/>
    </row>
    <row r="283" spans="1:7">
      <c r="A283" s="64"/>
      <c r="B283" s="18"/>
      <c r="C283" s="68"/>
      <c r="D283" s="18"/>
      <c r="E283" s="18"/>
      <c r="F283" s="18"/>
      <c r="G283" s="19"/>
    </row>
    <row r="284" spans="1:7">
      <c r="A284" s="64"/>
      <c r="B284" s="18"/>
      <c r="C284" s="68"/>
      <c r="D284" s="18"/>
      <c r="E284" s="18"/>
      <c r="F284" s="18"/>
      <c r="G284" s="19"/>
    </row>
    <row r="285" spans="1:7">
      <c r="A285" s="64"/>
      <c r="B285" s="18"/>
      <c r="C285" s="68"/>
      <c r="D285" s="18"/>
      <c r="E285" s="18"/>
      <c r="F285" s="18"/>
      <c r="G285" s="19"/>
    </row>
    <row r="286" spans="1:7">
      <c r="A286" s="64"/>
      <c r="B286" s="18"/>
      <c r="C286" s="68"/>
      <c r="D286" s="18"/>
      <c r="E286" s="18"/>
      <c r="F286" s="18"/>
      <c r="G286" s="19"/>
    </row>
    <row r="287" spans="1:7">
      <c r="A287" s="64"/>
      <c r="B287" s="18"/>
      <c r="C287" s="68"/>
      <c r="D287" s="18"/>
      <c r="E287" s="18"/>
      <c r="F287" s="18"/>
      <c r="G287" s="19"/>
    </row>
    <row r="288" spans="1:7">
      <c r="A288" s="64"/>
      <c r="B288" s="18"/>
      <c r="C288" s="68"/>
      <c r="D288" s="18"/>
      <c r="E288" s="18"/>
      <c r="F288" s="18"/>
      <c r="G288" s="19"/>
    </row>
    <row r="289" spans="1:7">
      <c r="A289" s="64"/>
      <c r="B289" s="18"/>
      <c r="C289" s="68"/>
      <c r="D289" s="18"/>
      <c r="E289" s="18"/>
      <c r="F289" s="18"/>
      <c r="G289" s="19"/>
    </row>
    <row r="290" spans="1:7">
      <c r="A290" s="64"/>
      <c r="B290" s="18"/>
      <c r="C290" s="68"/>
      <c r="D290" s="18"/>
      <c r="E290" s="18"/>
      <c r="F290" s="18"/>
      <c r="G290" s="19"/>
    </row>
    <row r="291" spans="1:7">
      <c r="A291" s="64"/>
      <c r="B291" s="18"/>
      <c r="C291" s="68"/>
      <c r="D291" s="18"/>
      <c r="E291" s="18"/>
      <c r="F291" s="18"/>
      <c r="G291" s="19"/>
    </row>
    <row r="292" spans="1:7">
      <c r="A292" s="64"/>
      <c r="B292" s="18"/>
      <c r="C292" s="68"/>
      <c r="D292" s="18"/>
      <c r="E292" s="18"/>
      <c r="F292" s="18"/>
      <c r="G292" s="19"/>
    </row>
    <row r="293" spans="1:7">
      <c r="A293" s="64"/>
      <c r="B293" s="18"/>
      <c r="C293" s="68"/>
      <c r="D293" s="18"/>
      <c r="E293" s="18"/>
      <c r="F293" s="18"/>
      <c r="G293" s="19"/>
    </row>
    <row r="294" spans="1:7">
      <c r="A294" s="64"/>
      <c r="B294" s="18"/>
      <c r="C294" s="68"/>
      <c r="D294" s="18"/>
      <c r="E294" s="18"/>
      <c r="F294" s="18"/>
      <c r="G294" s="19"/>
    </row>
    <row r="295" spans="1:7">
      <c r="A295" s="64"/>
      <c r="B295" s="18"/>
      <c r="C295" s="68"/>
      <c r="D295" s="18"/>
      <c r="E295" s="18"/>
      <c r="F295" s="18"/>
      <c r="G295" s="19"/>
    </row>
    <row r="296" spans="1:7">
      <c r="A296" s="64"/>
      <c r="B296" s="18"/>
      <c r="C296" s="68"/>
      <c r="D296" s="18"/>
      <c r="E296" s="18"/>
      <c r="F296" s="18"/>
      <c r="G296" s="19"/>
    </row>
    <row r="297" spans="1:7">
      <c r="A297" s="64"/>
      <c r="B297" s="18"/>
      <c r="C297" s="68"/>
      <c r="D297" s="18"/>
      <c r="E297" s="18"/>
      <c r="F297" s="18"/>
      <c r="G297" s="19"/>
    </row>
    <row r="298" spans="1:7">
      <c r="A298" s="64"/>
      <c r="B298" s="18"/>
      <c r="C298" s="68"/>
      <c r="D298" s="18"/>
      <c r="E298" s="18"/>
      <c r="F298" s="18"/>
      <c r="G298" s="19"/>
    </row>
    <row r="299" spans="1:7">
      <c r="A299" s="64"/>
      <c r="B299" s="18"/>
      <c r="C299" s="68"/>
      <c r="D299" s="18"/>
      <c r="E299" s="18"/>
      <c r="F299" s="18"/>
      <c r="G299" s="19"/>
    </row>
    <row r="300" spans="1:7" ht="15.75" thickBot="1">
      <c r="A300" s="65"/>
      <c r="B300" s="72"/>
      <c r="C300" s="69"/>
      <c r="D300" s="20"/>
      <c r="E300" s="20"/>
      <c r="F300" s="20"/>
      <c r="G300" s="21"/>
    </row>
    <row r="301" spans="1:7" ht="15.75" thickTop="1"/>
  </sheetData>
  <mergeCells count="2">
    <mergeCell ref="A1:G1"/>
    <mergeCell ref="E2:G3"/>
  </mergeCell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H112"/>
  <sheetViews>
    <sheetView zoomScaleNormal="100" workbookViewId="0">
      <selection activeCell="H112" sqref="H112"/>
    </sheetView>
  </sheetViews>
  <sheetFormatPr defaultRowHeight="15.75"/>
  <cols>
    <col min="1" max="1" width="17.28515625" style="44" bestFit="1" customWidth="1"/>
    <col min="2" max="2" width="15.7109375" style="44" bestFit="1" customWidth="1"/>
    <col min="3" max="3" width="13" style="44" bestFit="1" customWidth="1"/>
    <col min="4" max="4" width="22.42578125" style="44" bestFit="1" customWidth="1"/>
    <col min="5" max="5" width="26.140625" style="44" bestFit="1" customWidth="1"/>
    <col min="6" max="6" width="17.5703125" style="44" bestFit="1" customWidth="1"/>
    <col min="7" max="7" width="14.7109375" style="44" bestFit="1" customWidth="1"/>
    <col min="8" max="8" width="55.28515625" style="44" bestFit="1" customWidth="1"/>
  </cols>
  <sheetData>
    <row r="1" spans="1:8" ht="16.5" thickBot="1">
      <c r="A1" s="74" t="s">
        <v>60</v>
      </c>
      <c r="B1" s="74" t="s">
        <v>61</v>
      </c>
      <c r="C1" s="74" t="s">
        <v>62</v>
      </c>
      <c r="D1" s="74" t="s">
        <v>63</v>
      </c>
      <c r="E1" s="75" t="s">
        <v>64</v>
      </c>
      <c r="F1" s="76" t="s">
        <v>65</v>
      </c>
      <c r="G1" s="76" t="s">
        <v>66</v>
      </c>
      <c r="H1" s="76" t="s">
        <v>67</v>
      </c>
    </row>
    <row r="2" spans="1:8" ht="16.5" thickTop="1">
      <c r="A2" s="54" t="s">
        <v>68</v>
      </c>
      <c r="B2" s="54" t="s">
        <v>69</v>
      </c>
      <c r="C2" s="54">
        <v>123456789</v>
      </c>
      <c r="D2" s="54" t="s">
        <v>70</v>
      </c>
      <c r="E2" s="53" t="s">
        <v>71</v>
      </c>
      <c r="F2" s="60" t="s">
        <v>72</v>
      </c>
      <c r="G2" s="60" t="s">
        <v>73</v>
      </c>
      <c r="H2" s="58"/>
    </row>
    <row r="3" spans="1:8">
      <c r="A3" s="56" t="s">
        <v>74</v>
      </c>
      <c r="B3" s="56" t="s">
        <v>75</v>
      </c>
      <c r="C3" s="56"/>
      <c r="D3" s="56"/>
      <c r="E3" s="55" t="s">
        <v>76</v>
      </c>
      <c r="F3" s="58" t="str">
        <f t="shared" ref="F3:F66" si="0">IF(E3="","",IF(E3="DHCP","Auto Assigned",""))</f>
        <v>Auto Assigned</v>
      </c>
      <c r="G3" s="59" t="s">
        <v>77</v>
      </c>
      <c r="H3" s="59"/>
    </row>
    <row r="4" spans="1:8">
      <c r="A4" s="56" t="s">
        <v>74</v>
      </c>
      <c r="B4" s="56" t="s">
        <v>78</v>
      </c>
      <c r="C4" s="56"/>
      <c r="D4" s="56"/>
      <c r="E4" s="55" t="s">
        <v>76</v>
      </c>
      <c r="F4" s="58" t="str">
        <f t="shared" si="0"/>
        <v>Auto Assigned</v>
      </c>
      <c r="G4" s="59" t="s">
        <v>77</v>
      </c>
      <c r="H4" s="59"/>
    </row>
    <row r="5" spans="1:8">
      <c r="A5" s="56" t="s">
        <v>74</v>
      </c>
      <c r="B5" s="56" t="s">
        <v>79</v>
      </c>
      <c r="C5" s="56"/>
      <c r="D5" s="56"/>
      <c r="E5" s="55" t="s">
        <v>76</v>
      </c>
      <c r="F5" s="58" t="str">
        <f t="shared" si="0"/>
        <v>Auto Assigned</v>
      </c>
      <c r="G5" s="59" t="s">
        <v>77</v>
      </c>
      <c r="H5" s="59"/>
    </row>
    <row r="6" spans="1:8">
      <c r="A6" s="56" t="s">
        <v>74</v>
      </c>
      <c r="B6" s="56" t="s">
        <v>80</v>
      </c>
      <c r="C6" s="56"/>
      <c r="D6" s="56"/>
      <c r="E6" s="55" t="s">
        <v>76</v>
      </c>
      <c r="F6" s="58" t="str">
        <f t="shared" si="0"/>
        <v>Auto Assigned</v>
      </c>
      <c r="G6" s="59" t="s">
        <v>77</v>
      </c>
      <c r="H6" s="59"/>
    </row>
    <row r="7" spans="1:8">
      <c r="A7" s="56" t="s">
        <v>74</v>
      </c>
      <c r="B7" s="56" t="s">
        <v>81</v>
      </c>
      <c r="C7" s="56"/>
      <c r="D7" s="56"/>
      <c r="E7" s="55" t="s">
        <v>76</v>
      </c>
      <c r="F7" s="58" t="str">
        <f t="shared" si="0"/>
        <v>Auto Assigned</v>
      </c>
      <c r="G7" s="59" t="s">
        <v>77</v>
      </c>
      <c r="H7" s="59"/>
    </row>
    <row r="8" spans="1:8">
      <c r="A8" s="56" t="s">
        <v>74</v>
      </c>
      <c r="B8" s="56" t="s">
        <v>82</v>
      </c>
      <c r="C8" s="56"/>
      <c r="D8" s="56"/>
      <c r="E8" s="55" t="s">
        <v>76</v>
      </c>
      <c r="F8" s="58" t="str">
        <f t="shared" si="0"/>
        <v>Auto Assigned</v>
      </c>
      <c r="G8" s="59" t="s">
        <v>77</v>
      </c>
      <c r="H8" s="59"/>
    </row>
    <row r="9" spans="1:8">
      <c r="A9" s="56" t="s">
        <v>74</v>
      </c>
      <c r="B9" s="56" t="s">
        <v>83</v>
      </c>
      <c r="C9" s="56"/>
      <c r="D9" s="56"/>
      <c r="E9" s="55" t="s">
        <v>76</v>
      </c>
      <c r="F9" s="58" t="str">
        <f t="shared" si="0"/>
        <v>Auto Assigned</v>
      </c>
      <c r="G9" s="59" t="s">
        <v>77</v>
      </c>
      <c r="H9" s="59"/>
    </row>
    <row r="10" spans="1:8">
      <c r="A10" s="56" t="s">
        <v>74</v>
      </c>
      <c r="B10" s="56" t="s">
        <v>84</v>
      </c>
      <c r="C10" s="56"/>
      <c r="D10" s="56"/>
      <c r="E10" s="55" t="s">
        <v>76</v>
      </c>
      <c r="F10" s="58" t="str">
        <f t="shared" si="0"/>
        <v>Auto Assigned</v>
      </c>
      <c r="G10" s="59" t="s">
        <v>77</v>
      </c>
      <c r="H10" s="59"/>
    </row>
    <row r="11" spans="1:8">
      <c r="A11" s="56" t="s">
        <v>74</v>
      </c>
      <c r="B11" s="56" t="s">
        <v>85</v>
      </c>
      <c r="C11" s="56"/>
      <c r="D11" s="56"/>
      <c r="E11" s="55" t="s">
        <v>76</v>
      </c>
      <c r="F11" s="58" t="str">
        <f t="shared" si="0"/>
        <v>Auto Assigned</v>
      </c>
      <c r="G11" s="59" t="s">
        <v>77</v>
      </c>
      <c r="H11" s="59"/>
    </row>
    <row r="12" spans="1:8">
      <c r="A12" s="56" t="s">
        <v>74</v>
      </c>
      <c r="B12" s="56" t="s">
        <v>86</v>
      </c>
      <c r="C12" s="56"/>
      <c r="D12" s="56"/>
      <c r="E12" s="55" t="s">
        <v>76</v>
      </c>
      <c r="F12" s="58" t="str">
        <f t="shared" si="0"/>
        <v>Auto Assigned</v>
      </c>
      <c r="G12" s="59" t="s">
        <v>77</v>
      </c>
      <c r="H12" s="59"/>
    </row>
    <row r="13" spans="1:8">
      <c r="A13" s="56" t="s">
        <v>74</v>
      </c>
      <c r="B13" s="56" t="s">
        <v>87</v>
      </c>
      <c r="C13" s="56"/>
      <c r="D13" s="56"/>
      <c r="E13" s="55" t="s">
        <v>76</v>
      </c>
      <c r="F13" s="58" t="str">
        <f t="shared" si="0"/>
        <v>Auto Assigned</v>
      </c>
      <c r="G13" s="59" t="s">
        <v>77</v>
      </c>
      <c r="H13" s="59"/>
    </row>
    <row r="14" spans="1:8">
      <c r="A14" s="56" t="s">
        <v>74</v>
      </c>
      <c r="B14" s="56" t="s">
        <v>88</v>
      </c>
      <c r="C14" s="56"/>
      <c r="D14" s="56"/>
      <c r="E14" s="55" t="s">
        <v>76</v>
      </c>
      <c r="F14" s="58" t="str">
        <f t="shared" si="0"/>
        <v>Auto Assigned</v>
      </c>
      <c r="G14" s="59" t="s">
        <v>77</v>
      </c>
      <c r="H14" s="59"/>
    </row>
    <row r="15" spans="1:8">
      <c r="A15" s="56" t="s">
        <v>74</v>
      </c>
      <c r="B15" s="56" t="s">
        <v>89</v>
      </c>
      <c r="C15" s="56"/>
      <c r="D15" s="56"/>
      <c r="E15" s="55" t="s">
        <v>76</v>
      </c>
      <c r="F15" s="58" t="str">
        <f t="shared" si="0"/>
        <v>Auto Assigned</v>
      </c>
      <c r="G15" s="59" t="s">
        <v>77</v>
      </c>
      <c r="H15" s="59"/>
    </row>
    <row r="16" spans="1:8">
      <c r="A16" s="56" t="s">
        <v>74</v>
      </c>
      <c r="B16" s="56" t="s">
        <v>90</v>
      </c>
      <c r="C16" s="56"/>
      <c r="D16" s="56"/>
      <c r="E16" s="55" t="s">
        <v>76</v>
      </c>
      <c r="F16" s="58" t="str">
        <f t="shared" si="0"/>
        <v>Auto Assigned</v>
      </c>
      <c r="G16" s="59" t="s">
        <v>77</v>
      </c>
      <c r="H16" s="59"/>
    </row>
    <row r="17" spans="1:8">
      <c r="A17" s="56" t="s">
        <v>74</v>
      </c>
      <c r="B17" s="56" t="s">
        <v>91</v>
      </c>
      <c r="C17" s="56"/>
      <c r="D17" s="56"/>
      <c r="E17" s="55" t="s">
        <v>76</v>
      </c>
      <c r="F17" s="58" t="str">
        <f t="shared" si="0"/>
        <v>Auto Assigned</v>
      </c>
      <c r="G17" s="59" t="s">
        <v>77</v>
      </c>
      <c r="H17" s="59"/>
    </row>
    <row r="18" spans="1:8">
      <c r="A18" s="56" t="s">
        <v>74</v>
      </c>
      <c r="B18" s="56" t="s">
        <v>92</v>
      </c>
      <c r="C18" s="56"/>
      <c r="D18" s="56"/>
      <c r="E18" s="55" t="s">
        <v>76</v>
      </c>
      <c r="F18" s="58" t="str">
        <f t="shared" si="0"/>
        <v>Auto Assigned</v>
      </c>
      <c r="G18" s="59" t="s">
        <v>77</v>
      </c>
      <c r="H18" s="59"/>
    </row>
    <row r="19" spans="1:8">
      <c r="A19" s="56" t="s">
        <v>74</v>
      </c>
      <c r="B19" s="56" t="s">
        <v>93</v>
      </c>
      <c r="C19" s="56"/>
      <c r="D19" s="56"/>
      <c r="E19" s="55" t="s">
        <v>76</v>
      </c>
      <c r="F19" s="58" t="str">
        <f t="shared" si="0"/>
        <v>Auto Assigned</v>
      </c>
      <c r="G19" s="59" t="s">
        <v>77</v>
      </c>
      <c r="H19" s="59"/>
    </row>
    <row r="20" spans="1:8">
      <c r="A20" s="56" t="s">
        <v>74</v>
      </c>
      <c r="B20" s="56" t="s">
        <v>94</v>
      </c>
      <c r="C20" s="56"/>
      <c r="D20" s="56"/>
      <c r="E20" s="55" t="s">
        <v>76</v>
      </c>
      <c r="F20" s="58" t="str">
        <f t="shared" si="0"/>
        <v>Auto Assigned</v>
      </c>
      <c r="G20" s="59" t="s">
        <v>77</v>
      </c>
      <c r="H20" s="59"/>
    </row>
    <row r="21" spans="1:8">
      <c r="A21" s="56" t="s">
        <v>74</v>
      </c>
      <c r="B21" s="56" t="s">
        <v>95</v>
      </c>
      <c r="C21" s="56"/>
      <c r="D21" s="56"/>
      <c r="E21" s="55" t="s">
        <v>76</v>
      </c>
      <c r="F21" s="58" t="str">
        <f t="shared" si="0"/>
        <v>Auto Assigned</v>
      </c>
      <c r="G21" s="59" t="s">
        <v>77</v>
      </c>
      <c r="H21" s="59"/>
    </row>
    <row r="22" spans="1:8">
      <c r="A22" s="56" t="s">
        <v>74</v>
      </c>
      <c r="B22" s="56" t="s">
        <v>96</v>
      </c>
      <c r="C22" s="56"/>
      <c r="D22" s="56"/>
      <c r="E22" s="55" t="s">
        <v>76</v>
      </c>
      <c r="F22" s="58" t="str">
        <f t="shared" si="0"/>
        <v>Auto Assigned</v>
      </c>
      <c r="G22" s="59" t="s">
        <v>77</v>
      </c>
      <c r="H22" s="59"/>
    </row>
    <row r="23" spans="1:8">
      <c r="A23" s="56" t="s">
        <v>74</v>
      </c>
      <c r="B23" s="56" t="s">
        <v>97</v>
      </c>
      <c r="C23" s="56"/>
      <c r="D23" s="56"/>
      <c r="E23" s="55" t="s">
        <v>76</v>
      </c>
      <c r="F23" s="58" t="str">
        <f t="shared" si="0"/>
        <v>Auto Assigned</v>
      </c>
      <c r="G23" s="59" t="s">
        <v>77</v>
      </c>
      <c r="H23" s="59"/>
    </row>
    <row r="24" spans="1:8">
      <c r="A24" s="56" t="s">
        <v>74</v>
      </c>
      <c r="B24" s="56" t="s">
        <v>98</v>
      </c>
      <c r="C24" s="56"/>
      <c r="D24" s="56"/>
      <c r="E24" s="55" t="s">
        <v>76</v>
      </c>
      <c r="F24" s="58" t="str">
        <f t="shared" si="0"/>
        <v>Auto Assigned</v>
      </c>
      <c r="G24" s="59" t="s">
        <v>77</v>
      </c>
      <c r="H24" s="59"/>
    </row>
    <row r="25" spans="1:8">
      <c r="A25" s="56" t="s">
        <v>74</v>
      </c>
      <c r="B25" s="56" t="s">
        <v>99</v>
      </c>
      <c r="C25" s="56"/>
      <c r="D25" s="56"/>
      <c r="E25" s="55" t="s">
        <v>76</v>
      </c>
      <c r="F25" s="58" t="str">
        <f t="shared" si="0"/>
        <v>Auto Assigned</v>
      </c>
      <c r="G25" s="59" t="s">
        <v>77</v>
      </c>
      <c r="H25" s="59"/>
    </row>
    <row r="26" spans="1:8">
      <c r="A26" s="56" t="s">
        <v>74</v>
      </c>
      <c r="B26" s="56" t="s">
        <v>100</v>
      </c>
      <c r="C26" s="56"/>
      <c r="D26" s="56"/>
      <c r="E26" s="55" t="s">
        <v>76</v>
      </c>
      <c r="F26" s="58" t="str">
        <f t="shared" si="0"/>
        <v>Auto Assigned</v>
      </c>
      <c r="G26" s="59" t="s">
        <v>77</v>
      </c>
      <c r="H26" s="59"/>
    </row>
    <row r="27" spans="1:8">
      <c r="A27" s="56" t="s">
        <v>74</v>
      </c>
      <c r="B27" s="56" t="s">
        <v>101</v>
      </c>
      <c r="C27" s="56"/>
      <c r="D27" s="56"/>
      <c r="E27" s="55" t="s">
        <v>76</v>
      </c>
      <c r="F27" s="58" t="str">
        <f t="shared" si="0"/>
        <v>Auto Assigned</v>
      </c>
      <c r="G27" s="59" t="s">
        <v>77</v>
      </c>
      <c r="H27" s="59"/>
    </row>
    <row r="28" spans="1:8">
      <c r="A28" s="56" t="s">
        <v>74</v>
      </c>
      <c r="B28" s="56" t="s">
        <v>102</v>
      </c>
      <c r="C28" s="56"/>
      <c r="D28" s="56"/>
      <c r="E28" s="55" t="s">
        <v>76</v>
      </c>
      <c r="F28" s="58" t="str">
        <f t="shared" si="0"/>
        <v>Auto Assigned</v>
      </c>
      <c r="G28" s="59" t="s">
        <v>77</v>
      </c>
      <c r="H28" s="59"/>
    </row>
    <row r="29" spans="1:8">
      <c r="A29" s="56" t="s">
        <v>74</v>
      </c>
      <c r="B29" s="56" t="s">
        <v>103</v>
      </c>
      <c r="C29" s="56"/>
      <c r="D29" s="56"/>
      <c r="E29" s="55" t="s">
        <v>76</v>
      </c>
      <c r="F29" s="58" t="str">
        <f t="shared" si="0"/>
        <v>Auto Assigned</v>
      </c>
      <c r="G29" s="59" t="s">
        <v>77</v>
      </c>
      <c r="H29" s="59"/>
    </row>
    <row r="30" spans="1:8">
      <c r="A30" s="56" t="s">
        <v>74</v>
      </c>
      <c r="B30" s="56" t="s">
        <v>104</v>
      </c>
      <c r="C30" s="56"/>
      <c r="D30" s="56"/>
      <c r="E30" s="55" t="s">
        <v>76</v>
      </c>
      <c r="F30" s="58" t="str">
        <f t="shared" si="0"/>
        <v>Auto Assigned</v>
      </c>
      <c r="G30" s="59" t="s">
        <v>77</v>
      </c>
      <c r="H30" s="59"/>
    </row>
    <row r="31" spans="1:8">
      <c r="A31" s="56" t="s">
        <v>74</v>
      </c>
      <c r="B31" s="56" t="s">
        <v>105</v>
      </c>
      <c r="C31" s="56"/>
      <c r="D31" s="56"/>
      <c r="E31" s="55" t="s">
        <v>76</v>
      </c>
      <c r="F31" s="58" t="str">
        <f t="shared" si="0"/>
        <v>Auto Assigned</v>
      </c>
      <c r="G31" s="59" t="s">
        <v>77</v>
      </c>
      <c r="H31" s="59"/>
    </row>
    <row r="32" spans="1:8">
      <c r="A32" s="56" t="s">
        <v>74</v>
      </c>
      <c r="B32" s="56" t="s">
        <v>106</v>
      </c>
      <c r="C32" s="56"/>
      <c r="D32" s="56"/>
      <c r="E32" s="55" t="s">
        <v>76</v>
      </c>
      <c r="F32" s="58" t="str">
        <f t="shared" si="0"/>
        <v>Auto Assigned</v>
      </c>
      <c r="G32" s="59" t="s">
        <v>77</v>
      </c>
      <c r="H32" s="59"/>
    </row>
    <row r="33" spans="1:8">
      <c r="A33" s="56" t="s">
        <v>74</v>
      </c>
      <c r="B33" s="56" t="s">
        <v>107</v>
      </c>
      <c r="C33" s="56"/>
      <c r="D33" s="56"/>
      <c r="E33" s="55" t="s">
        <v>76</v>
      </c>
      <c r="F33" s="58" t="str">
        <f t="shared" si="0"/>
        <v>Auto Assigned</v>
      </c>
      <c r="G33" s="59" t="s">
        <v>77</v>
      </c>
      <c r="H33" s="59"/>
    </row>
    <row r="34" spans="1:8">
      <c r="A34" s="56" t="s">
        <v>74</v>
      </c>
      <c r="B34" s="56" t="s">
        <v>108</v>
      </c>
      <c r="C34" s="56"/>
      <c r="D34" s="56"/>
      <c r="E34" s="55" t="s">
        <v>76</v>
      </c>
      <c r="F34" s="58" t="str">
        <f t="shared" si="0"/>
        <v>Auto Assigned</v>
      </c>
      <c r="G34" s="59" t="s">
        <v>77</v>
      </c>
      <c r="H34" s="59"/>
    </row>
    <row r="35" spans="1:8">
      <c r="A35" s="56" t="s">
        <v>74</v>
      </c>
      <c r="B35" s="56" t="s">
        <v>109</v>
      </c>
      <c r="C35" s="56"/>
      <c r="D35" s="56"/>
      <c r="E35" s="55" t="s">
        <v>76</v>
      </c>
      <c r="F35" s="58" t="str">
        <f t="shared" si="0"/>
        <v>Auto Assigned</v>
      </c>
      <c r="G35" s="59" t="s">
        <v>77</v>
      </c>
      <c r="H35" s="59"/>
    </row>
    <row r="36" spans="1:8">
      <c r="A36" s="56" t="s">
        <v>74</v>
      </c>
      <c r="B36" s="56" t="s">
        <v>110</v>
      </c>
      <c r="C36" s="56"/>
      <c r="D36" s="56"/>
      <c r="E36" s="55" t="s">
        <v>76</v>
      </c>
      <c r="F36" s="58" t="str">
        <f t="shared" si="0"/>
        <v>Auto Assigned</v>
      </c>
      <c r="G36" s="59" t="s">
        <v>77</v>
      </c>
      <c r="H36" s="59"/>
    </row>
    <row r="37" spans="1:8">
      <c r="A37" s="56" t="s">
        <v>74</v>
      </c>
      <c r="B37" s="56" t="s">
        <v>111</v>
      </c>
      <c r="C37" s="56"/>
      <c r="D37" s="56"/>
      <c r="E37" s="55" t="s">
        <v>76</v>
      </c>
      <c r="F37" s="58" t="str">
        <f t="shared" si="0"/>
        <v>Auto Assigned</v>
      </c>
      <c r="G37" s="59" t="s">
        <v>77</v>
      </c>
      <c r="H37" s="59"/>
    </row>
    <row r="38" spans="1:8">
      <c r="A38" s="56" t="s">
        <v>74</v>
      </c>
      <c r="B38" s="56" t="s">
        <v>112</v>
      </c>
      <c r="C38" s="56"/>
      <c r="D38" s="56"/>
      <c r="E38" s="55" t="s">
        <v>76</v>
      </c>
      <c r="F38" s="58" t="str">
        <f t="shared" si="0"/>
        <v>Auto Assigned</v>
      </c>
      <c r="G38" s="59" t="s">
        <v>77</v>
      </c>
      <c r="H38" s="59"/>
    </row>
    <row r="39" spans="1:8">
      <c r="A39" s="56" t="s">
        <v>74</v>
      </c>
      <c r="B39" s="56" t="s">
        <v>113</v>
      </c>
      <c r="C39" s="56"/>
      <c r="D39" s="56"/>
      <c r="E39" s="55" t="s">
        <v>76</v>
      </c>
      <c r="F39" s="58" t="str">
        <f t="shared" si="0"/>
        <v>Auto Assigned</v>
      </c>
      <c r="G39" s="59" t="s">
        <v>77</v>
      </c>
      <c r="H39" s="59"/>
    </row>
    <row r="40" spans="1:8">
      <c r="A40" s="56" t="s">
        <v>74</v>
      </c>
      <c r="B40" s="56" t="s">
        <v>114</v>
      </c>
      <c r="C40" s="56"/>
      <c r="D40" s="56"/>
      <c r="E40" s="55" t="s">
        <v>76</v>
      </c>
      <c r="F40" s="58" t="str">
        <f t="shared" si="0"/>
        <v>Auto Assigned</v>
      </c>
      <c r="G40" s="59" t="s">
        <v>77</v>
      </c>
      <c r="H40" s="59"/>
    </row>
    <row r="41" spans="1:8">
      <c r="A41" s="56" t="s">
        <v>74</v>
      </c>
      <c r="B41" s="56" t="s">
        <v>115</v>
      </c>
      <c r="C41" s="56"/>
      <c r="D41" s="56"/>
      <c r="E41" s="55" t="s">
        <v>76</v>
      </c>
      <c r="F41" s="58" t="str">
        <f t="shared" si="0"/>
        <v>Auto Assigned</v>
      </c>
      <c r="G41" s="59" t="s">
        <v>77</v>
      </c>
      <c r="H41" s="59"/>
    </row>
    <row r="42" spans="1:8">
      <c r="A42" s="56" t="s">
        <v>74</v>
      </c>
      <c r="B42" s="56" t="s">
        <v>116</v>
      </c>
      <c r="C42" s="56"/>
      <c r="D42" s="56"/>
      <c r="E42" s="55" t="s">
        <v>76</v>
      </c>
      <c r="F42" s="58" t="str">
        <f t="shared" si="0"/>
        <v>Auto Assigned</v>
      </c>
      <c r="G42" s="59" t="s">
        <v>77</v>
      </c>
      <c r="H42" s="59"/>
    </row>
    <row r="43" spans="1:8">
      <c r="A43" s="56" t="s">
        <v>74</v>
      </c>
      <c r="B43" s="56" t="s">
        <v>117</v>
      </c>
      <c r="C43" s="56"/>
      <c r="D43" s="56"/>
      <c r="E43" s="55" t="s">
        <v>76</v>
      </c>
      <c r="F43" s="58" t="str">
        <f t="shared" si="0"/>
        <v>Auto Assigned</v>
      </c>
      <c r="G43" s="59" t="s">
        <v>77</v>
      </c>
      <c r="H43" s="59"/>
    </row>
    <row r="44" spans="1:8">
      <c r="A44" s="56" t="s">
        <v>74</v>
      </c>
      <c r="B44" s="56" t="s">
        <v>118</v>
      </c>
      <c r="C44" s="56"/>
      <c r="D44" s="56"/>
      <c r="E44" s="55" t="s">
        <v>76</v>
      </c>
      <c r="F44" s="58" t="str">
        <f t="shared" si="0"/>
        <v>Auto Assigned</v>
      </c>
      <c r="G44" s="59" t="s">
        <v>77</v>
      </c>
      <c r="H44" s="59"/>
    </row>
    <row r="45" spans="1:8">
      <c r="A45" s="56" t="s">
        <v>74</v>
      </c>
      <c r="B45" s="56" t="s">
        <v>119</v>
      </c>
      <c r="C45" s="56"/>
      <c r="D45" s="56"/>
      <c r="E45" s="55" t="s">
        <v>76</v>
      </c>
      <c r="F45" s="58" t="str">
        <f t="shared" si="0"/>
        <v>Auto Assigned</v>
      </c>
      <c r="G45" s="59" t="s">
        <v>77</v>
      </c>
      <c r="H45" s="59"/>
    </row>
    <row r="46" spans="1:8">
      <c r="A46" s="56" t="s">
        <v>74</v>
      </c>
      <c r="B46" s="56" t="s">
        <v>120</v>
      </c>
      <c r="C46" s="56"/>
      <c r="D46" s="56"/>
      <c r="E46" s="55" t="s">
        <v>76</v>
      </c>
      <c r="F46" s="58" t="str">
        <f t="shared" si="0"/>
        <v>Auto Assigned</v>
      </c>
      <c r="G46" s="59" t="s">
        <v>77</v>
      </c>
      <c r="H46" s="59"/>
    </row>
    <row r="47" spans="1:8">
      <c r="A47" s="56" t="s">
        <v>74</v>
      </c>
      <c r="B47" s="56" t="s">
        <v>121</v>
      </c>
      <c r="C47" s="56"/>
      <c r="D47" s="56"/>
      <c r="E47" s="55" t="s">
        <v>76</v>
      </c>
      <c r="F47" s="58" t="str">
        <f t="shared" si="0"/>
        <v>Auto Assigned</v>
      </c>
      <c r="G47" s="59" t="s">
        <v>77</v>
      </c>
      <c r="H47" s="59"/>
    </row>
    <row r="48" spans="1:8">
      <c r="A48" s="56" t="s">
        <v>74</v>
      </c>
      <c r="B48" s="56" t="s">
        <v>122</v>
      </c>
      <c r="C48" s="56"/>
      <c r="D48" s="56"/>
      <c r="E48" s="55" t="s">
        <v>76</v>
      </c>
      <c r="F48" s="58" t="str">
        <f t="shared" si="0"/>
        <v>Auto Assigned</v>
      </c>
      <c r="G48" s="59" t="s">
        <v>77</v>
      </c>
      <c r="H48" s="59"/>
    </row>
    <row r="49" spans="1:8">
      <c r="A49" s="56" t="s">
        <v>74</v>
      </c>
      <c r="B49" s="56" t="s">
        <v>123</v>
      </c>
      <c r="C49" s="56"/>
      <c r="D49" s="56"/>
      <c r="E49" s="55" t="s">
        <v>76</v>
      </c>
      <c r="F49" s="58" t="str">
        <f t="shared" si="0"/>
        <v>Auto Assigned</v>
      </c>
      <c r="G49" s="59" t="s">
        <v>77</v>
      </c>
      <c r="H49" s="59"/>
    </row>
    <row r="50" spans="1:8">
      <c r="A50" s="56" t="s">
        <v>74</v>
      </c>
      <c r="B50" s="56" t="s">
        <v>124</v>
      </c>
      <c r="C50" s="56"/>
      <c r="D50" s="56"/>
      <c r="E50" s="55" t="s">
        <v>76</v>
      </c>
      <c r="F50" s="58" t="str">
        <f t="shared" si="0"/>
        <v>Auto Assigned</v>
      </c>
      <c r="G50" s="59" t="s">
        <v>77</v>
      </c>
      <c r="H50" s="59"/>
    </row>
    <row r="51" spans="1:8">
      <c r="A51" s="56" t="s">
        <v>74</v>
      </c>
      <c r="B51" s="56" t="s">
        <v>125</v>
      </c>
      <c r="C51" s="56"/>
      <c r="D51" s="56"/>
      <c r="E51" s="55" t="s">
        <v>76</v>
      </c>
      <c r="F51" s="58" t="str">
        <f t="shared" si="0"/>
        <v>Auto Assigned</v>
      </c>
      <c r="G51" s="59" t="s">
        <v>77</v>
      </c>
      <c r="H51" s="59"/>
    </row>
    <row r="52" spans="1:8">
      <c r="A52" s="56" t="s">
        <v>74</v>
      </c>
      <c r="B52" s="56" t="s">
        <v>126</v>
      </c>
      <c r="C52" s="56"/>
      <c r="D52" s="56"/>
      <c r="E52" s="55" t="s">
        <v>76</v>
      </c>
      <c r="F52" s="58" t="str">
        <f t="shared" si="0"/>
        <v>Auto Assigned</v>
      </c>
      <c r="G52" s="59" t="s">
        <v>77</v>
      </c>
      <c r="H52" s="59"/>
    </row>
    <row r="53" spans="1:8">
      <c r="A53" s="56" t="s">
        <v>74</v>
      </c>
      <c r="B53" s="56" t="s">
        <v>127</v>
      </c>
      <c r="C53" s="56"/>
      <c r="D53" s="56"/>
      <c r="E53" s="55" t="s">
        <v>76</v>
      </c>
      <c r="F53" s="58" t="str">
        <f t="shared" si="0"/>
        <v>Auto Assigned</v>
      </c>
      <c r="G53" s="59" t="s">
        <v>77</v>
      </c>
      <c r="H53" s="59"/>
    </row>
    <row r="54" spans="1:8">
      <c r="A54" s="56" t="s">
        <v>74</v>
      </c>
      <c r="B54" s="56" t="s">
        <v>128</v>
      </c>
      <c r="C54" s="56"/>
      <c r="D54" s="56"/>
      <c r="E54" s="55" t="s">
        <v>76</v>
      </c>
      <c r="F54" s="58" t="str">
        <f t="shared" si="0"/>
        <v>Auto Assigned</v>
      </c>
      <c r="G54" s="59" t="s">
        <v>77</v>
      </c>
      <c r="H54" s="59"/>
    </row>
    <row r="55" spans="1:8">
      <c r="A55" s="56" t="s">
        <v>74</v>
      </c>
      <c r="B55" s="56" t="s">
        <v>129</v>
      </c>
      <c r="C55" s="56"/>
      <c r="D55" s="56"/>
      <c r="E55" s="55" t="s">
        <v>76</v>
      </c>
      <c r="F55" s="58" t="str">
        <f t="shared" si="0"/>
        <v>Auto Assigned</v>
      </c>
      <c r="G55" s="59" t="s">
        <v>77</v>
      </c>
      <c r="H55" s="59"/>
    </row>
    <row r="56" spans="1:8">
      <c r="A56" s="56" t="s">
        <v>74</v>
      </c>
      <c r="B56" s="56" t="s">
        <v>130</v>
      </c>
      <c r="C56" s="56"/>
      <c r="D56" s="56"/>
      <c r="E56" s="55" t="s">
        <v>76</v>
      </c>
      <c r="F56" s="58" t="str">
        <f t="shared" si="0"/>
        <v>Auto Assigned</v>
      </c>
      <c r="G56" s="59" t="s">
        <v>77</v>
      </c>
      <c r="H56" s="59"/>
    </row>
    <row r="57" spans="1:8">
      <c r="A57" s="56" t="s">
        <v>74</v>
      </c>
      <c r="B57" s="56" t="s">
        <v>131</v>
      </c>
      <c r="C57" s="56"/>
      <c r="D57" s="56"/>
      <c r="E57" s="55" t="s">
        <v>76</v>
      </c>
      <c r="F57" s="58" t="str">
        <f t="shared" si="0"/>
        <v>Auto Assigned</v>
      </c>
      <c r="G57" s="59" t="s">
        <v>77</v>
      </c>
      <c r="H57" s="59"/>
    </row>
    <row r="58" spans="1:8">
      <c r="A58" s="56" t="s">
        <v>74</v>
      </c>
      <c r="B58" s="56" t="s">
        <v>132</v>
      </c>
      <c r="C58" s="56"/>
      <c r="D58" s="56"/>
      <c r="E58" s="55" t="s">
        <v>76</v>
      </c>
      <c r="F58" s="58" t="str">
        <f t="shared" si="0"/>
        <v>Auto Assigned</v>
      </c>
      <c r="G58" s="59" t="s">
        <v>77</v>
      </c>
      <c r="H58" s="59"/>
    </row>
    <row r="59" spans="1:8">
      <c r="A59" s="56" t="s">
        <v>74</v>
      </c>
      <c r="B59" s="56" t="s">
        <v>133</v>
      </c>
      <c r="C59" s="56"/>
      <c r="D59" s="56"/>
      <c r="E59" s="55" t="s">
        <v>76</v>
      </c>
      <c r="F59" s="58" t="str">
        <f t="shared" si="0"/>
        <v>Auto Assigned</v>
      </c>
      <c r="G59" s="59" t="s">
        <v>77</v>
      </c>
      <c r="H59" s="59"/>
    </row>
    <row r="60" spans="1:8">
      <c r="A60" s="56" t="s">
        <v>74</v>
      </c>
      <c r="B60" s="56" t="s">
        <v>134</v>
      </c>
      <c r="C60" s="56"/>
      <c r="D60" s="56"/>
      <c r="E60" s="55" t="s">
        <v>76</v>
      </c>
      <c r="F60" s="58" t="str">
        <f t="shared" si="0"/>
        <v>Auto Assigned</v>
      </c>
      <c r="G60" s="59" t="s">
        <v>77</v>
      </c>
      <c r="H60" s="59"/>
    </row>
    <row r="61" spans="1:8">
      <c r="A61" s="56" t="s">
        <v>74</v>
      </c>
      <c r="B61" s="56" t="s">
        <v>135</v>
      </c>
      <c r="C61" s="56"/>
      <c r="D61" s="56"/>
      <c r="E61" s="55" t="s">
        <v>76</v>
      </c>
      <c r="F61" s="58" t="str">
        <f t="shared" si="0"/>
        <v>Auto Assigned</v>
      </c>
      <c r="G61" s="59" t="s">
        <v>77</v>
      </c>
      <c r="H61" s="59"/>
    </row>
    <row r="62" spans="1:8">
      <c r="A62" s="56" t="s">
        <v>74</v>
      </c>
      <c r="B62" s="56" t="s">
        <v>136</v>
      </c>
      <c r="C62" s="56"/>
      <c r="D62" s="56"/>
      <c r="E62" s="55" t="s">
        <v>76</v>
      </c>
      <c r="F62" s="58" t="str">
        <f t="shared" si="0"/>
        <v>Auto Assigned</v>
      </c>
      <c r="G62" s="59" t="s">
        <v>77</v>
      </c>
      <c r="H62" s="59"/>
    </row>
    <row r="63" spans="1:8">
      <c r="A63" s="56" t="s">
        <v>74</v>
      </c>
      <c r="B63" s="56" t="s">
        <v>137</v>
      </c>
      <c r="C63" s="56"/>
      <c r="D63" s="56"/>
      <c r="E63" s="55" t="s">
        <v>76</v>
      </c>
      <c r="F63" s="58" t="str">
        <f t="shared" si="0"/>
        <v>Auto Assigned</v>
      </c>
      <c r="G63" s="59" t="s">
        <v>77</v>
      </c>
      <c r="H63" s="59"/>
    </row>
    <row r="64" spans="1:8">
      <c r="A64" s="56" t="s">
        <v>74</v>
      </c>
      <c r="B64" s="56" t="s">
        <v>138</v>
      </c>
      <c r="C64" s="56"/>
      <c r="D64" s="56"/>
      <c r="E64" s="55" t="s">
        <v>76</v>
      </c>
      <c r="F64" s="58" t="str">
        <f t="shared" si="0"/>
        <v>Auto Assigned</v>
      </c>
      <c r="G64" s="59" t="s">
        <v>77</v>
      </c>
      <c r="H64" s="59"/>
    </row>
    <row r="65" spans="1:8">
      <c r="A65" s="56" t="s">
        <v>74</v>
      </c>
      <c r="B65" s="56" t="s">
        <v>139</v>
      </c>
      <c r="C65" s="56"/>
      <c r="D65" s="56"/>
      <c r="E65" s="55" t="s">
        <v>76</v>
      </c>
      <c r="F65" s="58" t="str">
        <f t="shared" si="0"/>
        <v>Auto Assigned</v>
      </c>
      <c r="G65" s="59" t="s">
        <v>77</v>
      </c>
      <c r="H65" s="59"/>
    </row>
    <row r="66" spans="1:8">
      <c r="A66" s="56" t="s">
        <v>74</v>
      </c>
      <c r="B66" s="56" t="s">
        <v>140</v>
      </c>
      <c r="C66" s="56"/>
      <c r="D66" s="56"/>
      <c r="E66" s="55" t="s">
        <v>76</v>
      </c>
      <c r="F66" s="58" t="str">
        <f t="shared" si="0"/>
        <v>Auto Assigned</v>
      </c>
      <c r="G66" s="59" t="s">
        <v>77</v>
      </c>
      <c r="H66" s="59"/>
    </row>
    <row r="67" spans="1:8">
      <c r="A67" s="56" t="s">
        <v>74</v>
      </c>
      <c r="B67" s="56" t="s">
        <v>141</v>
      </c>
      <c r="C67" s="56"/>
      <c r="D67" s="56"/>
      <c r="E67" s="55" t="s">
        <v>76</v>
      </c>
      <c r="F67" s="58" t="str">
        <f t="shared" ref="F67:F102" si="1">IF(E67="","",IF(E67="DHCP","Auto Assigned",""))</f>
        <v>Auto Assigned</v>
      </c>
      <c r="G67" s="59" t="s">
        <v>77</v>
      </c>
      <c r="H67" s="59"/>
    </row>
    <row r="68" spans="1:8">
      <c r="A68" s="56" t="s">
        <v>74</v>
      </c>
      <c r="B68" s="56" t="s">
        <v>142</v>
      </c>
      <c r="C68" s="56"/>
      <c r="D68" s="56"/>
      <c r="E68" s="55" t="s">
        <v>76</v>
      </c>
      <c r="F68" s="58" t="str">
        <f t="shared" si="1"/>
        <v>Auto Assigned</v>
      </c>
      <c r="G68" s="59" t="s">
        <v>77</v>
      </c>
      <c r="H68" s="59"/>
    </row>
    <row r="69" spans="1:8">
      <c r="A69" s="56" t="s">
        <v>74</v>
      </c>
      <c r="B69" s="56" t="s">
        <v>143</v>
      </c>
      <c r="C69" s="56"/>
      <c r="D69" s="56"/>
      <c r="E69" s="55" t="s">
        <v>76</v>
      </c>
      <c r="F69" s="58" t="str">
        <f t="shared" si="1"/>
        <v>Auto Assigned</v>
      </c>
      <c r="G69" s="59" t="s">
        <v>77</v>
      </c>
      <c r="H69" s="59"/>
    </row>
    <row r="70" spans="1:8">
      <c r="A70" s="56" t="s">
        <v>74</v>
      </c>
      <c r="B70" s="56" t="s">
        <v>144</v>
      </c>
      <c r="C70" s="56"/>
      <c r="D70" s="56"/>
      <c r="E70" s="55" t="s">
        <v>76</v>
      </c>
      <c r="F70" s="58" t="str">
        <f t="shared" si="1"/>
        <v>Auto Assigned</v>
      </c>
      <c r="G70" s="59" t="s">
        <v>77</v>
      </c>
      <c r="H70" s="59"/>
    </row>
    <row r="71" spans="1:8">
      <c r="A71" s="56" t="s">
        <v>74</v>
      </c>
      <c r="B71" s="56" t="s">
        <v>145</v>
      </c>
      <c r="C71" s="56"/>
      <c r="D71" s="56"/>
      <c r="E71" s="55" t="s">
        <v>76</v>
      </c>
      <c r="F71" s="58" t="str">
        <f t="shared" si="1"/>
        <v>Auto Assigned</v>
      </c>
      <c r="G71" s="59" t="s">
        <v>77</v>
      </c>
      <c r="H71" s="59"/>
    </row>
    <row r="72" spans="1:8">
      <c r="A72" s="56" t="s">
        <v>74</v>
      </c>
      <c r="B72" s="56" t="s">
        <v>146</v>
      </c>
      <c r="C72" s="56"/>
      <c r="D72" s="56"/>
      <c r="E72" s="55" t="s">
        <v>76</v>
      </c>
      <c r="F72" s="58" t="str">
        <f t="shared" si="1"/>
        <v>Auto Assigned</v>
      </c>
      <c r="G72" s="59" t="s">
        <v>77</v>
      </c>
      <c r="H72" s="59"/>
    </row>
    <row r="73" spans="1:8">
      <c r="A73" s="56" t="s">
        <v>74</v>
      </c>
      <c r="B73" s="56" t="s">
        <v>147</v>
      </c>
      <c r="C73" s="56"/>
      <c r="D73" s="56"/>
      <c r="E73" s="55" t="s">
        <v>76</v>
      </c>
      <c r="F73" s="58" t="str">
        <f t="shared" si="1"/>
        <v>Auto Assigned</v>
      </c>
      <c r="G73" s="59" t="s">
        <v>77</v>
      </c>
      <c r="H73" s="59"/>
    </row>
    <row r="74" spans="1:8">
      <c r="A74" s="56" t="s">
        <v>74</v>
      </c>
      <c r="B74" s="56" t="s">
        <v>148</v>
      </c>
      <c r="C74" s="56"/>
      <c r="D74" s="56"/>
      <c r="E74" s="55" t="s">
        <v>76</v>
      </c>
      <c r="F74" s="58" t="str">
        <f t="shared" si="1"/>
        <v>Auto Assigned</v>
      </c>
      <c r="G74" s="59" t="s">
        <v>77</v>
      </c>
      <c r="H74" s="59"/>
    </row>
    <row r="75" spans="1:8">
      <c r="A75" s="56" t="s">
        <v>74</v>
      </c>
      <c r="B75" s="56" t="s">
        <v>149</v>
      </c>
      <c r="C75" s="56"/>
      <c r="D75" s="56"/>
      <c r="E75" s="55" t="s">
        <v>76</v>
      </c>
      <c r="F75" s="58" t="str">
        <f t="shared" si="1"/>
        <v>Auto Assigned</v>
      </c>
      <c r="G75" s="59" t="s">
        <v>77</v>
      </c>
      <c r="H75" s="59"/>
    </row>
    <row r="76" spans="1:8">
      <c r="A76" s="56" t="s">
        <v>74</v>
      </c>
      <c r="B76" s="56" t="s">
        <v>150</v>
      </c>
      <c r="C76" s="56"/>
      <c r="D76" s="56"/>
      <c r="E76" s="55" t="s">
        <v>76</v>
      </c>
      <c r="F76" s="58" t="str">
        <f t="shared" si="1"/>
        <v>Auto Assigned</v>
      </c>
      <c r="G76" s="59" t="s">
        <v>77</v>
      </c>
      <c r="H76" s="59"/>
    </row>
    <row r="77" spans="1:8">
      <c r="A77" s="56" t="s">
        <v>74</v>
      </c>
      <c r="B77" s="56" t="s">
        <v>151</v>
      </c>
      <c r="C77" s="56"/>
      <c r="D77" s="56"/>
      <c r="E77" s="55" t="s">
        <v>76</v>
      </c>
      <c r="F77" s="58" t="str">
        <f t="shared" si="1"/>
        <v>Auto Assigned</v>
      </c>
      <c r="G77" s="59" t="s">
        <v>77</v>
      </c>
      <c r="H77" s="59"/>
    </row>
    <row r="78" spans="1:8">
      <c r="A78" s="56" t="s">
        <v>74</v>
      </c>
      <c r="B78" s="56" t="s">
        <v>152</v>
      </c>
      <c r="C78" s="56"/>
      <c r="D78" s="56"/>
      <c r="E78" s="55" t="s">
        <v>76</v>
      </c>
      <c r="F78" s="58" t="str">
        <f t="shared" si="1"/>
        <v>Auto Assigned</v>
      </c>
      <c r="G78" s="59" t="s">
        <v>77</v>
      </c>
      <c r="H78" s="59"/>
    </row>
    <row r="79" spans="1:8">
      <c r="A79" s="56" t="s">
        <v>74</v>
      </c>
      <c r="B79" s="56" t="s">
        <v>153</v>
      </c>
      <c r="C79" s="56"/>
      <c r="D79" s="56"/>
      <c r="E79" s="55" t="s">
        <v>76</v>
      </c>
      <c r="F79" s="58" t="str">
        <f t="shared" si="1"/>
        <v>Auto Assigned</v>
      </c>
      <c r="G79" s="59" t="s">
        <v>77</v>
      </c>
      <c r="H79" s="59"/>
    </row>
    <row r="80" spans="1:8">
      <c r="A80" s="56" t="s">
        <v>74</v>
      </c>
      <c r="B80" s="56" t="s">
        <v>154</v>
      </c>
      <c r="C80" s="56"/>
      <c r="D80" s="56"/>
      <c r="E80" s="55" t="s">
        <v>76</v>
      </c>
      <c r="F80" s="58" t="str">
        <f t="shared" si="1"/>
        <v>Auto Assigned</v>
      </c>
      <c r="G80" s="59" t="s">
        <v>77</v>
      </c>
      <c r="H80" s="59"/>
    </row>
    <row r="81" spans="1:8">
      <c r="A81" s="56" t="s">
        <v>74</v>
      </c>
      <c r="B81" s="56" t="s">
        <v>155</v>
      </c>
      <c r="C81" s="56"/>
      <c r="D81" s="56"/>
      <c r="E81" s="55" t="s">
        <v>76</v>
      </c>
      <c r="F81" s="58" t="str">
        <f t="shared" si="1"/>
        <v>Auto Assigned</v>
      </c>
      <c r="G81" s="59" t="s">
        <v>77</v>
      </c>
      <c r="H81" s="59"/>
    </row>
    <row r="82" spans="1:8">
      <c r="A82" s="56" t="s">
        <v>74</v>
      </c>
      <c r="B82" s="56" t="s">
        <v>156</v>
      </c>
      <c r="C82" s="56"/>
      <c r="D82" s="56"/>
      <c r="E82" s="55" t="s">
        <v>76</v>
      </c>
      <c r="F82" s="58" t="str">
        <f t="shared" si="1"/>
        <v>Auto Assigned</v>
      </c>
      <c r="G82" s="59" t="s">
        <v>77</v>
      </c>
      <c r="H82" s="59"/>
    </row>
    <row r="83" spans="1:8">
      <c r="A83" s="56" t="s">
        <v>74</v>
      </c>
      <c r="B83" s="56" t="s">
        <v>157</v>
      </c>
      <c r="C83" s="56"/>
      <c r="D83" s="56"/>
      <c r="E83" s="55" t="s">
        <v>76</v>
      </c>
      <c r="F83" s="58" t="str">
        <f t="shared" si="1"/>
        <v>Auto Assigned</v>
      </c>
      <c r="G83" s="59" t="s">
        <v>77</v>
      </c>
      <c r="H83" s="59"/>
    </row>
    <row r="84" spans="1:8">
      <c r="A84" s="56" t="s">
        <v>74</v>
      </c>
      <c r="B84" s="56" t="s">
        <v>158</v>
      </c>
      <c r="C84" s="56"/>
      <c r="D84" s="56"/>
      <c r="E84" s="55" t="s">
        <v>76</v>
      </c>
      <c r="F84" s="58" t="str">
        <f t="shared" si="1"/>
        <v>Auto Assigned</v>
      </c>
      <c r="G84" s="59" t="s">
        <v>77</v>
      </c>
      <c r="H84" s="59"/>
    </row>
    <row r="85" spans="1:8">
      <c r="A85" s="56" t="s">
        <v>74</v>
      </c>
      <c r="B85" s="56" t="s">
        <v>159</v>
      </c>
      <c r="C85" s="56"/>
      <c r="D85" s="56"/>
      <c r="E85" s="55" t="s">
        <v>76</v>
      </c>
      <c r="F85" s="58" t="str">
        <f t="shared" si="1"/>
        <v>Auto Assigned</v>
      </c>
      <c r="G85" s="59" t="s">
        <v>77</v>
      </c>
      <c r="H85" s="59"/>
    </row>
    <row r="86" spans="1:8">
      <c r="A86" s="56" t="s">
        <v>74</v>
      </c>
      <c r="B86" s="56" t="s">
        <v>160</v>
      </c>
      <c r="C86" s="56"/>
      <c r="D86" s="56"/>
      <c r="E86" s="55" t="s">
        <v>76</v>
      </c>
      <c r="F86" s="58" t="str">
        <f t="shared" si="1"/>
        <v>Auto Assigned</v>
      </c>
      <c r="G86" s="59" t="s">
        <v>77</v>
      </c>
      <c r="H86" s="59"/>
    </row>
    <row r="87" spans="1:8">
      <c r="A87" s="56" t="s">
        <v>74</v>
      </c>
      <c r="B87" s="56" t="s">
        <v>161</v>
      </c>
      <c r="C87" s="56"/>
      <c r="D87" s="56"/>
      <c r="E87" s="55" t="s">
        <v>76</v>
      </c>
      <c r="F87" s="58" t="str">
        <f t="shared" si="1"/>
        <v>Auto Assigned</v>
      </c>
      <c r="G87" s="59" t="s">
        <v>77</v>
      </c>
      <c r="H87" s="59"/>
    </row>
    <row r="88" spans="1:8">
      <c r="A88" s="56" t="s">
        <v>74</v>
      </c>
      <c r="B88" s="56" t="s">
        <v>162</v>
      </c>
      <c r="C88" s="56"/>
      <c r="D88" s="56"/>
      <c r="E88" s="55" t="s">
        <v>76</v>
      </c>
      <c r="F88" s="58" t="str">
        <f t="shared" si="1"/>
        <v>Auto Assigned</v>
      </c>
      <c r="G88" s="59" t="s">
        <v>77</v>
      </c>
      <c r="H88" s="59"/>
    </row>
    <row r="89" spans="1:8">
      <c r="A89" s="56" t="s">
        <v>74</v>
      </c>
      <c r="B89" s="56" t="s">
        <v>163</v>
      </c>
      <c r="C89" s="56"/>
      <c r="D89" s="56"/>
      <c r="E89" s="55" t="s">
        <v>76</v>
      </c>
      <c r="F89" s="58" t="str">
        <f t="shared" si="1"/>
        <v>Auto Assigned</v>
      </c>
      <c r="G89" s="59" t="s">
        <v>77</v>
      </c>
      <c r="H89" s="59"/>
    </row>
    <row r="90" spans="1:8">
      <c r="A90" s="56" t="s">
        <v>74</v>
      </c>
      <c r="B90" s="56" t="s">
        <v>164</v>
      </c>
      <c r="C90" s="56"/>
      <c r="D90" s="56"/>
      <c r="E90" s="55" t="s">
        <v>76</v>
      </c>
      <c r="F90" s="58" t="str">
        <f t="shared" si="1"/>
        <v>Auto Assigned</v>
      </c>
      <c r="G90" s="59" t="s">
        <v>77</v>
      </c>
      <c r="H90" s="59"/>
    </row>
    <row r="91" spans="1:8">
      <c r="A91" s="56" t="s">
        <v>74</v>
      </c>
      <c r="B91" s="56" t="s">
        <v>165</v>
      </c>
      <c r="C91" s="56"/>
      <c r="D91" s="56"/>
      <c r="E91" s="55" t="s">
        <v>76</v>
      </c>
      <c r="F91" s="58" t="str">
        <f t="shared" si="1"/>
        <v>Auto Assigned</v>
      </c>
      <c r="G91" s="59" t="s">
        <v>77</v>
      </c>
      <c r="H91" s="59"/>
    </row>
    <row r="92" spans="1:8">
      <c r="A92" s="56" t="s">
        <v>74</v>
      </c>
      <c r="B92" s="56" t="s">
        <v>166</v>
      </c>
      <c r="C92" s="56"/>
      <c r="D92" s="56"/>
      <c r="E92" s="55" t="s">
        <v>76</v>
      </c>
      <c r="F92" s="58" t="str">
        <f t="shared" si="1"/>
        <v>Auto Assigned</v>
      </c>
      <c r="G92" s="59" t="s">
        <v>77</v>
      </c>
      <c r="H92" s="59"/>
    </row>
    <row r="93" spans="1:8">
      <c r="A93" s="56" t="s">
        <v>74</v>
      </c>
      <c r="B93" s="56" t="s">
        <v>167</v>
      </c>
      <c r="C93" s="56"/>
      <c r="D93" s="56"/>
      <c r="E93" s="55" t="s">
        <v>76</v>
      </c>
      <c r="F93" s="58" t="str">
        <f t="shared" si="1"/>
        <v>Auto Assigned</v>
      </c>
      <c r="G93" s="59" t="s">
        <v>77</v>
      </c>
      <c r="H93" s="59"/>
    </row>
    <row r="94" spans="1:8">
      <c r="A94" s="56" t="s">
        <v>74</v>
      </c>
      <c r="B94" s="56" t="s">
        <v>168</v>
      </c>
      <c r="C94" s="56"/>
      <c r="D94" s="56"/>
      <c r="E94" s="55" t="s">
        <v>76</v>
      </c>
      <c r="F94" s="58" t="str">
        <f t="shared" si="1"/>
        <v>Auto Assigned</v>
      </c>
      <c r="G94" s="59" t="s">
        <v>77</v>
      </c>
      <c r="H94" s="59"/>
    </row>
    <row r="95" spans="1:8">
      <c r="A95" s="56" t="s">
        <v>74</v>
      </c>
      <c r="B95" s="56" t="s">
        <v>169</v>
      </c>
      <c r="C95" s="56"/>
      <c r="D95" s="56"/>
      <c r="E95" s="55" t="s">
        <v>76</v>
      </c>
      <c r="F95" s="58" t="str">
        <f t="shared" si="1"/>
        <v>Auto Assigned</v>
      </c>
      <c r="G95" s="59" t="s">
        <v>77</v>
      </c>
      <c r="H95" s="59"/>
    </row>
    <row r="96" spans="1:8">
      <c r="A96" s="56" t="s">
        <v>74</v>
      </c>
      <c r="B96" s="56" t="s">
        <v>170</v>
      </c>
      <c r="C96" s="56"/>
      <c r="D96" s="56"/>
      <c r="E96" s="55" t="s">
        <v>76</v>
      </c>
      <c r="F96" s="58" t="str">
        <f t="shared" si="1"/>
        <v>Auto Assigned</v>
      </c>
      <c r="G96" s="59" t="s">
        <v>77</v>
      </c>
      <c r="H96" s="59"/>
    </row>
    <row r="97" spans="1:8">
      <c r="A97" s="56" t="s">
        <v>74</v>
      </c>
      <c r="B97" s="56" t="s">
        <v>171</v>
      </c>
      <c r="C97" s="56"/>
      <c r="D97" s="56"/>
      <c r="E97" s="55" t="s">
        <v>76</v>
      </c>
      <c r="F97" s="58" t="str">
        <f t="shared" si="1"/>
        <v>Auto Assigned</v>
      </c>
      <c r="G97" s="59" t="s">
        <v>77</v>
      </c>
      <c r="H97" s="59"/>
    </row>
    <row r="98" spans="1:8">
      <c r="A98" s="56" t="s">
        <v>74</v>
      </c>
      <c r="B98" s="56" t="s">
        <v>172</v>
      </c>
      <c r="C98" s="56"/>
      <c r="D98" s="56"/>
      <c r="E98" s="55" t="s">
        <v>76</v>
      </c>
      <c r="F98" s="58" t="str">
        <f t="shared" si="1"/>
        <v>Auto Assigned</v>
      </c>
      <c r="G98" s="59" t="s">
        <v>77</v>
      </c>
      <c r="H98" s="59"/>
    </row>
    <row r="99" spans="1:8">
      <c r="A99" s="56" t="s">
        <v>74</v>
      </c>
      <c r="B99" s="56" t="s">
        <v>173</v>
      </c>
      <c r="C99" s="56"/>
      <c r="D99" s="56"/>
      <c r="E99" s="55" t="s">
        <v>76</v>
      </c>
      <c r="F99" s="58" t="str">
        <f t="shared" si="1"/>
        <v>Auto Assigned</v>
      </c>
      <c r="G99" s="59" t="s">
        <v>77</v>
      </c>
      <c r="H99" s="59"/>
    </row>
    <row r="100" spans="1:8">
      <c r="A100" s="56" t="s">
        <v>74</v>
      </c>
      <c r="B100" s="56" t="s">
        <v>174</v>
      </c>
      <c r="C100" s="56"/>
      <c r="D100" s="56"/>
      <c r="E100" s="55" t="s">
        <v>76</v>
      </c>
      <c r="F100" s="61" t="str">
        <f t="shared" si="1"/>
        <v>Auto Assigned</v>
      </c>
      <c r="G100" s="59" t="s">
        <v>77</v>
      </c>
      <c r="H100" s="59"/>
    </row>
    <row r="101" spans="1:8">
      <c r="A101" s="56" t="s">
        <v>74</v>
      </c>
      <c r="B101" s="56" t="s">
        <v>175</v>
      </c>
      <c r="C101" s="56"/>
      <c r="D101" s="56"/>
      <c r="E101" s="55" t="s">
        <v>76</v>
      </c>
      <c r="F101" s="61" t="str">
        <f t="shared" si="1"/>
        <v>Auto Assigned</v>
      </c>
      <c r="G101" s="59" t="s">
        <v>77</v>
      </c>
      <c r="H101" s="59"/>
    </row>
    <row r="102" spans="1:8">
      <c r="A102" s="56" t="s">
        <v>74</v>
      </c>
      <c r="B102" s="56" t="s">
        <v>176</v>
      </c>
      <c r="C102" s="56"/>
      <c r="D102" s="56"/>
      <c r="E102" s="55" t="s">
        <v>76</v>
      </c>
      <c r="F102" s="61" t="str">
        <f t="shared" si="1"/>
        <v>Auto Assigned</v>
      </c>
      <c r="G102" s="59" t="s">
        <v>77</v>
      </c>
      <c r="H102" s="59"/>
    </row>
    <row r="103" spans="1:8">
      <c r="A103" s="56" t="s">
        <v>177</v>
      </c>
      <c r="B103" s="56" t="s">
        <v>178</v>
      </c>
      <c r="C103" s="56"/>
      <c r="D103" s="56"/>
      <c r="E103" s="55" t="s">
        <v>71</v>
      </c>
      <c r="F103" s="59" t="s">
        <v>179</v>
      </c>
      <c r="G103" s="59" t="s">
        <v>73</v>
      </c>
      <c r="H103" s="59" t="s">
        <v>180</v>
      </c>
    </row>
    <row r="104" spans="1:8">
      <c r="A104" s="56" t="s">
        <v>177</v>
      </c>
      <c r="B104" s="56" t="s">
        <v>178</v>
      </c>
      <c r="C104" s="56"/>
      <c r="D104" s="56"/>
      <c r="E104" s="55" t="s">
        <v>71</v>
      </c>
      <c r="F104" s="59" t="s">
        <v>181</v>
      </c>
      <c r="G104" s="59" t="s">
        <v>73</v>
      </c>
      <c r="H104" s="59" t="s">
        <v>182</v>
      </c>
    </row>
    <row r="105" spans="1:8">
      <c r="A105" s="56" t="s">
        <v>177</v>
      </c>
      <c r="B105" s="56" t="s">
        <v>178</v>
      </c>
      <c r="C105" s="56"/>
      <c r="D105" s="56"/>
      <c r="E105" s="55" t="s">
        <v>71</v>
      </c>
      <c r="F105" s="59" t="s">
        <v>183</v>
      </c>
      <c r="G105" s="59" t="s">
        <v>73</v>
      </c>
      <c r="H105" s="59" t="s">
        <v>184</v>
      </c>
    </row>
    <row r="106" spans="1:8">
      <c r="A106" s="56" t="s">
        <v>177</v>
      </c>
      <c r="B106" s="56" t="s">
        <v>178</v>
      </c>
      <c r="C106" s="56"/>
      <c r="D106" s="56"/>
      <c r="E106" s="55" t="s">
        <v>71</v>
      </c>
      <c r="F106" s="59" t="s">
        <v>185</v>
      </c>
      <c r="G106" s="59" t="s">
        <v>73</v>
      </c>
      <c r="H106" s="59" t="s">
        <v>186</v>
      </c>
    </row>
    <row r="107" spans="1:8">
      <c r="A107" s="56" t="s">
        <v>187</v>
      </c>
      <c r="B107" s="56" t="s">
        <v>188</v>
      </c>
      <c r="C107" s="56"/>
      <c r="D107" s="56"/>
      <c r="E107" s="55" t="s">
        <v>71</v>
      </c>
      <c r="F107" s="59" t="s">
        <v>189</v>
      </c>
      <c r="G107" s="59" t="s">
        <v>77</v>
      </c>
      <c r="H107" s="59"/>
    </row>
    <row r="108" spans="1:8">
      <c r="A108" s="56" t="s">
        <v>187</v>
      </c>
      <c r="B108" s="56" t="s">
        <v>190</v>
      </c>
      <c r="C108" s="56"/>
      <c r="D108" s="56"/>
      <c r="E108" s="55" t="s">
        <v>71</v>
      </c>
      <c r="F108" s="59" t="s">
        <v>191</v>
      </c>
      <c r="G108" s="59" t="s">
        <v>77</v>
      </c>
      <c r="H108" s="59"/>
    </row>
    <row r="109" spans="1:8">
      <c r="A109" s="56" t="s">
        <v>187</v>
      </c>
      <c r="B109" s="56" t="s">
        <v>192</v>
      </c>
      <c r="C109" s="56"/>
      <c r="D109" s="56"/>
      <c r="E109" s="55" t="s">
        <v>71</v>
      </c>
      <c r="F109" s="59" t="s">
        <v>193</v>
      </c>
      <c r="G109" s="59" t="s">
        <v>77</v>
      </c>
      <c r="H109" s="59"/>
    </row>
    <row r="110" spans="1:8">
      <c r="A110" s="56" t="s">
        <v>187</v>
      </c>
      <c r="B110" s="56" t="s">
        <v>194</v>
      </c>
      <c r="C110" s="56"/>
      <c r="D110" s="56"/>
      <c r="E110" s="55" t="s">
        <v>71</v>
      </c>
      <c r="F110" s="59" t="s">
        <v>195</v>
      </c>
      <c r="G110" s="59" t="s">
        <v>77</v>
      </c>
      <c r="H110" s="59"/>
    </row>
    <row r="111" spans="1:8">
      <c r="A111" s="56" t="s">
        <v>187</v>
      </c>
      <c r="B111" s="56" t="s">
        <v>196</v>
      </c>
      <c r="C111" s="56"/>
      <c r="D111" s="56"/>
      <c r="E111" s="55" t="s">
        <v>71</v>
      </c>
      <c r="F111" s="59" t="s">
        <v>197</v>
      </c>
      <c r="G111" s="59" t="s">
        <v>77</v>
      </c>
      <c r="H111" s="59"/>
    </row>
    <row r="112" spans="1:8" ht="16.5" thickBot="1">
      <c r="A112" s="57" t="s">
        <v>198</v>
      </c>
      <c r="B112" s="57" t="s">
        <v>178</v>
      </c>
      <c r="C112" s="57"/>
      <c r="D112" s="57"/>
      <c r="E112" s="63" t="s">
        <v>71</v>
      </c>
      <c r="F112" s="62" t="s">
        <v>199</v>
      </c>
      <c r="G112" s="62" t="s">
        <v>73</v>
      </c>
      <c r="H112" s="62" t="s">
        <v>200</v>
      </c>
    </row>
  </sheetData>
  <phoneticPr fontId="13" type="noConversion"/>
  <dataValidations count="2">
    <dataValidation type="list" allowBlank="1" showInputMessage="1" showErrorMessage="1" sqref="A2:A102" xr:uid="{00000000-0002-0000-0200-000000000000}">
      <formula1>Lookup2</formula1>
    </dataValidation>
    <dataValidation type="list" allowBlank="1" showInputMessage="1" showErrorMessage="1" sqref="E2:E102" xr:uid="{00000000-0002-0000-0200-000001000000}">
      <formula1>Lookup3</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L202"/>
  <sheetViews>
    <sheetView tabSelected="1" topLeftCell="A6" zoomScale="110" zoomScaleNormal="110" workbookViewId="0">
      <selection activeCell="H5" sqref="H5"/>
    </sheetView>
  </sheetViews>
  <sheetFormatPr defaultRowHeight="15"/>
  <cols>
    <col min="1" max="1" width="5.28515625" bestFit="1" customWidth="1"/>
    <col min="2" max="2" width="6.7109375" bestFit="1" customWidth="1"/>
    <col min="3" max="3" width="40.42578125" customWidth="1"/>
    <col min="4" max="4" width="10.85546875" bestFit="1" customWidth="1"/>
    <col min="5" max="5" width="12" bestFit="1" customWidth="1"/>
    <col min="6" max="6" width="10.7109375" bestFit="1" customWidth="1"/>
    <col min="7" max="7" width="13.140625" customWidth="1"/>
    <col min="8" max="8" width="42.42578125" customWidth="1"/>
    <col min="9" max="9" width="13.7109375" bestFit="1" customWidth="1"/>
    <col min="10" max="10" width="11.5703125" bestFit="1" customWidth="1"/>
    <col min="11" max="11" width="7.85546875" bestFit="1" customWidth="1"/>
    <col min="12" max="12" width="7.140625" bestFit="1" customWidth="1"/>
  </cols>
  <sheetData>
    <row r="1" spans="1:12" ht="21" thickTop="1" thickBot="1">
      <c r="A1" s="144" t="s">
        <v>201</v>
      </c>
      <c r="B1" s="145"/>
      <c r="C1" s="145"/>
      <c r="D1" s="146" t="s">
        <v>202</v>
      </c>
      <c r="E1" s="146"/>
      <c r="F1" s="146"/>
      <c r="G1" s="146"/>
      <c r="H1" s="98"/>
      <c r="I1" s="146" t="s">
        <v>203</v>
      </c>
      <c r="J1" s="146" t="s">
        <v>204</v>
      </c>
      <c r="K1" s="140" t="s">
        <v>205</v>
      </c>
      <c r="L1" s="142" t="s">
        <v>67</v>
      </c>
    </row>
    <row r="2" spans="1:12" s="28" customFormat="1" ht="16.5" thickBot="1">
      <c r="A2" s="45" t="s">
        <v>206</v>
      </c>
      <c r="B2" s="99" t="s">
        <v>207</v>
      </c>
      <c r="C2" s="97" t="s">
        <v>208</v>
      </c>
      <c r="D2" s="99" t="s">
        <v>209</v>
      </c>
      <c r="E2" s="99" t="s">
        <v>210</v>
      </c>
      <c r="F2" s="99" t="s">
        <v>211</v>
      </c>
      <c r="G2" s="99" t="s">
        <v>212</v>
      </c>
      <c r="H2" s="97" t="s">
        <v>213</v>
      </c>
      <c r="I2" s="147"/>
      <c r="J2" s="147"/>
      <c r="K2" s="141"/>
      <c r="L2" s="143"/>
    </row>
    <row r="3" spans="1:12" s="46" customFormat="1" ht="45">
      <c r="A3" s="106" t="s">
        <v>214</v>
      </c>
      <c r="B3" s="107" t="s">
        <v>215</v>
      </c>
      <c r="C3" s="108" t="s">
        <v>216</v>
      </c>
      <c r="D3" s="107" t="s">
        <v>217</v>
      </c>
      <c r="E3" s="107" t="s">
        <v>218</v>
      </c>
      <c r="F3" s="107" t="s">
        <v>219</v>
      </c>
      <c r="G3" s="113">
        <f>IF(D3="","",(VLOOKUP(D3,Lookup!$E$3:$F$22,2,FALSE)*VLOOKUP(E3,Lookup!$G$3:$H$22,2,FALSE)+VLOOKUP(F3,Lookup!$I$3:$J$22,2,FALSE)))</f>
        <v>20</v>
      </c>
      <c r="H3" s="109" t="s">
        <v>220</v>
      </c>
      <c r="I3" s="110"/>
      <c r="J3" s="111"/>
      <c r="K3" s="111"/>
      <c r="L3" s="112"/>
    </row>
    <row r="4" spans="1:12" ht="66.75" customHeight="1">
      <c r="A4" s="114" t="s">
        <v>221</v>
      </c>
      <c r="B4" s="104" t="s">
        <v>215</v>
      </c>
      <c r="C4" s="84" t="s">
        <v>222</v>
      </c>
      <c r="D4" s="104" t="s">
        <v>223</v>
      </c>
      <c r="E4" s="104" t="s">
        <v>218</v>
      </c>
      <c r="F4" s="104" t="s">
        <v>224</v>
      </c>
      <c r="G4" s="113">
        <f>IF(D4="","",(VLOOKUP(D4,Lookup!$E$3:$F$22,2,FALSE)*VLOOKUP(E4,Lookup!$G$3:$H$22,2,FALSE)+VLOOKUP(F4,Lookup!$I$3:$J$22,2,FALSE)))</f>
        <v>13</v>
      </c>
      <c r="H4" s="84" t="s">
        <v>225</v>
      </c>
      <c r="I4" s="104"/>
      <c r="J4" s="104"/>
      <c r="K4" s="104"/>
      <c r="L4" s="115"/>
    </row>
    <row r="5" spans="1:12" ht="96" customHeight="1">
      <c r="A5" s="116" t="s">
        <v>226</v>
      </c>
      <c r="B5" s="104" t="s">
        <v>215</v>
      </c>
      <c r="C5" s="84" t="s">
        <v>227</v>
      </c>
      <c r="D5" s="104" t="s">
        <v>228</v>
      </c>
      <c r="E5" s="104" t="s">
        <v>218</v>
      </c>
      <c r="F5" s="104" t="s">
        <v>224</v>
      </c>
      <c r="G5" s="113">
        <f>IF(D5="","",(VLOOKUP(D5,Lookup!$E$3:$F$22,2,FALSE)*VLOOKUP(E5,Lookup!$G$3:$H$22,2,FALSE)+VLOOKUP(F5,Lookup!$I$3:$J$22,2,FALSE)))</f>
        <v>9</v>
      </c>
      <c r="H5" s="84" t="s">
        <v>229</v>
      </c>
      <c r="I5" s="104"/>
      <c r="J5" s="104"/>
      <c r="K5" s="104"/>
      <c r="L5" s="115"/>
    </row>
    <row r="6" spans="1:12" ht="66.75" customHeight="1">
      <c r="A6" s="114" t="s">
        <v>230</v>
      </c>
      <c r="B6" s="104" t="s">
        <v>215</v>
      </c>
      <c r="C6" s="84" t="s">
        <v>231</v>
      </c>
      <c r="D6" s="104" t="s">
        <v>223</v>
      </c>
      <c r="E6" s="104" t="s">
        <v>218</v>
      </c>
      <c r="F6" s="104" t="s">
        <v>224</v>
      </c>
      <c r="G6" s="113">
        <f>IF(D6="","",(VLOOKUP(D6,Lookup!$E$3:$F$22,2,FALSE)*VLOOKUP(E6,Lookup!$G$3:$H$22,2,FALSE)+VLOOKUP(F6,Lookup!$I$3:$J$22,2,FALSE)))</f>
        <v>13</v>
      </c>
      <c r="H6" s="84" t="s">
        <v>232</v>
      </c>
      <c r="I6" s="104"/>
      <c r="J6" s="104"/>
      <c r="K6" s="104"/>
      <c r="L6" s="115"/>
    </row>
    <row r="7" spans="1:12" ht="96" customHeight="1">
      <c r="A7" s="116" t="s">
        <v>233</v>
      </c>
      <c r="B7" s="104" t="s">
        <v>215</v>
      </c>
      <c r="C7" s="84" t="s">
        <v>234</v>
      </c>
      <c r="D7" s="104" t="s">
        <v>217</v>
      </c>
      <c r="E7" s="104" t="s">
        <v>218</v>
      </c>
      <c r="F7" s="104" t="s">
        <v>235</v>
      </c>
      <c r="G7" s="113">
        <f>IF(D7="","",(VLOOKUP(D7,Lookup!$E$3:$F$22,2,FALSE)*VLOOKUP(E7,Lookup!$G$3:$H$22,2,FALSE)+VLOOKUP(F7,Lookup!$I$3:$J$22,2,FALSE)))</f>
        <v>21</v>
      </c>
      <c r="H7" s="84" t="s">
        <v>236</v>
      </c>
      <c r="I7" s="104"/>
      <c r="J7" s="104"/>
      <c r="K7" s="104"/>
      <c r="L7" s="115"/>
    </row>
    <row r="8" spans="1:12" ht="95.25" customHeight="1">
      <c r="A8" s="114" t="s">
        <v>237</v>
      </c>
      <c r="B8" s="104" t="s">
        <v>215</v>
      </c>
      <c r="C8" s="84" t="s">
        <v>238</v>
      </c>
      <c r="D8" s="104" t="s">
        <v>217</v>
      </c>
      <c r="E8" s="104" t="s">
        <v>218</v>
      </c>
      <c r="F8" s="104" t="s">
        <v>235</v>
      </c>
      <c r="G8" s="113">
        <f>IF(D8="","",(VLOOKUP(D8,Lookup!$E$3:$F$22,2,FALSE)*VLOOKUP(E8,Lookup!$G$3:$H$22,2,FALSE)+VLOOKUP(F8,Lookup!$I$3:$J$22,2,FALSE)))</f>
        <v>21</v>
      </c>
      <c r="H8" s="84" t="s">
        <v>239</v>
      </c>
      <c r="I8" s="104"/>
      <c r="J8" s="104"/>
      <c r="K8" s="104"/>
      <c r="L8" s="115"/>
    </row>
    <row r="9" spans="1:12" ht="30">
      <c r="A9" s="116" t="s">
        <v>240</v>
      </c>
      <c r="B9" s="104" t="s">
        <v>215</v>
      </c>
      <c r="C9" s="84" t="s">
        <v>241</v>
      </c>
      <c r="D9" s="104" t="s">
        <v>217</v>
      </c>
      <c r="E9" s="104" t="s">
        <v>242</v>
      </c>
      <c r="F9" s="104" t="s">
        <v>243</v>
      </c>
      <c r="G9" s="113">
        <f>IF(D9="","",(VLOOKUP(D9,Lookup!$E$3:$F$22,2,FALSE)*VLOOKUP(E9,Lookup!$G$3:$H$22,2,FALSE)+VLOOKUP(F9,Lookup!$I$3:$J$22,2,FALSE)))</f>
        <v>19</v>
      </c>
      <c r="H9" s="84" t="s">
        <v>244</v>
      </c>
      <c r="I9" s="104"/>
      <c r="J9" s="104"/>
      <c r="K9" s="104"/>
      <c r="L9" s="115"/>
    </row>
    <row r="10" spans="1:12" ht="95.25" customHeight="1">
      <c r="A10" s="114" t="s">
        <v>245</v>
      </c>
      <c r="B10" s="104" t="s">
        <v>215</v>
      </c>
      <c r="C10" s="104" t="s">
        <v>246</v>
      </c>
      <c r="D10" s="104" t="s">
        <v>217</v>
      </c>
      <c r="E10" s="104" t="s">
        <v>218</v>
      </c>
      <c r="F10" s="104" t="s">
        <v>219</v>
      </c>
      <c r="G10" s="113">
        <f>IF(D10="","",(VLOOKUP(D10,Lookup!$E$3:$F$22,2,FALSE)*VLOOKUP(E10,Lookup!$G$3:$H$22,2,FALSE)+VLOOKUP(F10,Lookup!$I$3:$J$22,2,FALSE)))</f>
        <v>20</v>
      </c>
      <c r="H10" s="84" t="s">
        <v>247</v>
      </c>
      <c r="I10" s="104"/>
      <c r="J10" s="104"/>
      <c r="K10" s="104"/>
      <c r="L10" s="115"/>
    </row>
    <row r="11" spans="1:12" ht="30">
      <c r="A11" s="116" t="s">
        <v>248</v>
      </c>
      <c r="B11" s="104" t="s">
        <v>215</v>
      </c>
      <c r="C11" s="84" t="s">
        <v>249</v>
      </c>
      <c r="D11" s="84" t="s">
        <v>228</v>
      </c>
      <c r="E11" s="104" t="s">
        <v>242</v>
      </c>
      <c r="F11" s="104" t="s">
        <v>224</v>
      </c>
      <c r="G11" s="113">
        <f>IF(D11="","",(VLOOKUP(D11,Lookup!$E$3:$F$22,2,FALSE)*VLOOKUP(E11,Lookup!$G$3:$H$22,2,FALSE)+VLOOKUP(F11,Lookup!$I$3:$J$22,2,FALSE)))</f>
        <v>7</v>
      </c>
      <c r="H11" s="84" t="s">
        <v>250</v>
      </c>
      <c r="I11" s="104"/>
      <c r="J11" s="104"/>
      <c r="K11" s="104"/>
      <c r="L11" s="115"/>
    </row>
    <row r="12" spans="1:12">
      <c r="A12" s="94" t="s">
        <v>251</v>
      </c>
      <c r="B12" s="77"/>
      <c r="C12" s="77"/>
      <c r="D12" s="77"/>
      <c r="E12" s="77"/>
      <c r="F12" s="77"/>
      <c r="G12" s="93" t="str">
        <f>IF(D12="","",(VLOOKUP(D12,Lookup!$E$3:$F$22,2,FALSE)*VLOOKUP(E12,Lookup!$G$3:$H$22,2,FALSE)+VLOOKUP(F12,Lookup!$I$3:$J$22,2,FALSE)))</f>
        <v/>
      </c>
      <c r="H12" s="77"/>
      <c r="I12" s="77"/>
      <c r="J12" s="77"/>
      <c r="K12" s="77"/>
      <c r="L12" s="95"/>
    </row>
    <row r="13" spans="1:12">
      <c r="A13" s="96" t="s">
        <v>252</v>
      </c>
      <c r="B13" s="77"/>
      <c r="C13" s="77"/>
      <c r="D13" s="77"/>
      <c r="E13" s="77"/>
      <c r="F13" s="77"/>
      <c r="G13" s="93" t="str">
        <f>IF(D13="","",(VLOOKUP(D13,Lookup!$E$3:$F$22,2,FALSE)*VLOOKUP(E13,Lookup!$G$3:$H$22,2,FALSE)+VLOOKUP(F13,Lookup!$I$3:$J$22,2,FALSE)))</f>
        <v/>
      </c>
      <c r="H13" s="77"/>
      <c r="I13" s="77"/>
      <c r="J13" s="77"/>
      <c r="K13" s="77"/>
      <c r="L13" s="95"/>
    </row>
    <row r="14" spans="1:12">
      <c r="A14" s="94" t="s">
        <v>253</v>
      </c>
      <c r="B14" s="77"/>
      <c r="C14" s="77"/>
      <c r="D14" s="77"/>
      <c r="E14" s="77"/>
      <c r="F14" s="77"/>
      <c r="G14" s="93" t="str">
        <f>IF(D14="","",(VLOOKUP(D14,Lookup!$E$3:$F$22,2,FALSE)*VLOOKUP(E14,Lookup!$G$3:$H$22,2,FALSE)+VLOOKUP(F14,Lookup!$I$3:$J$22,2,FALSE)))</f>
        <v/>
      </c>
      <c r="H14" s="77"/>
      <c r="I14" s="77"/>
      <c r="J14" s="77"/>
      <c r="K14" s="77"/>
      <c r="L14" s="95"/>
    </row>
    <row r="15" spans="1:12">
      <c r="A15" s="96" t="s">
        <v>254</v>
      </c>
      <c r="B15" s="77"/>
      <c r="C15" s="77"/>
      <c r="D15" s="77"/>
      <c r="E15" s="77"/>
      <c r="F15" s="77"/>
      <c r="G15" s="93" t="str">
        <f>IF(D15="","",(VLOOKUP(D15,Lookup!$E$3:$F$22,2,FALSE)*VLOOKUP(E15,Lookup!$G$3:$H$22,2,FALSE)+VLOOKUP(F15,Lookup!$I$3:$J$22,2,FALSE)))</f>
        <v/>
      </c>
      <c r="H15" s="77"/>
      <c r="I15" s="77"/>
      <c r="J15" s="77"/>
      <c r="K15" s="77"/>
      <c r="L15" s="95"/>
    </row>
    <row r="16" spans="1:12">
      <c r="A16" s="94" t="s">
        <v>255</v>
      </c>
      <c r="B16" s="77"/>
      <c r="C16" s="77"/>
      <c r="D16" s="77"/>
      <c r="E16" s="77"/>
      <c r="F16" s="77"/>
      <c r="G16" s="93" t="str">
        <f>IF(D16="","",(VLOOKUP(D16,Lookup!$E$3:$F$22,2,FALSE)*VLOOKUP(E16,Lookup!$G$3:$H$22,2,FALSE)+VLOOKUP(F16,Lookup!$I$3:$J$22,2,FALSE)))</f>
        <v/>
      </c>
      <c r="H16" s="77"/>
      <c r="I16" s="77"/>
      <c r="J16" s="77"/>
      <c r="K16" s="77"/>
      <c r="L16" s="95"/>
    </row>
    <row r="17" spans="1:12">
      <c r="A17" s="96" t="s">
        <v>256</v>
      </c>
      <c r="B17" s="77"/>
      <c r="C17" s="77"/>
      <c r="D17" s="77"/>
      <c r="E17" s="77"/>
      <c r="F17" s="77"/>
      <c r="G17" s="93" t="str">
        <f>IF(D17="","",(VLOOKUP(D17,Lookup!$E$3:$F$22,2,FALSE)*VLOOKUP(E17,Lookup!$G$3:$H$22,2,FALSE)+VLOOKUP(F17,Lookup!$I$3:$J$22,2,FALSE)))</f>
        <v/>
      </c>
      <c r="H17" s="77"/>
      <c r="I17" s="77"/>
      <c r="J17" s="77"/>
      <c r="K17" s="77"/>
      <c r="L17" s="95"/>
    </row>
    <row r="18" spans="1:12">
      <c r="A18" s="94" t="s">
        <v>257</v>
      </c>
      <c r="B18" s="77"/>
      <c r="C18" s="77"/>
      <c r="D18" s="77"/>
      <c r="E18" s="77"/>
      <c r="F18" s="77"/>
      <c r="G18" s="93" t="str">
        <f>IF(D18="","",(VLOOKUP(D18,Lookup!$E$3:$F$22,2,FALSE)*VLOOKUP(E18,Lookup!$G$3:$H$22,2,FALSE)+VLOOKUP(F18,Lookup!$I$3:$J$22,2,FALSE)))</f>
        <v/>
      </c>
      <c r="H18" s="77"/>
      <c r="I18" s="77"/>
      <c r="J18" s="77"/>
      <c r="K18" s="77"/>
      <c r="L18" s="95"/>
    </row>
    <row r="19" spans="1:12">
      <c r="A19" s="96" t="s">
        <v>258</v>
      </c>
      <c r="B19" s="77"/>
      <c r="C19" s="77"/>
      <c r="D19" s="77"/>
      <c r="E19" s="77"/>
      <c r="F19" s="77"/>
      <c r="G19" s="93" t="str">
        <f>IF(D19="","",(VLOOKUP(D19,Lookup!$E$3:$F$22,2,FALSE)*VLOOKUP(E19,Lookup!$G$3:$H$22,2,FALSE)+VLOOKUP(F19,Lookup!$I$3:$J$22,2,FALSE)))</f>
        <v/>
      </c>
      <c r="H19" s="77"/>
      <c r="I19" s="77"/>
      <c r="J19" s="77"/>
      <c r="K19" s="77"/>
      <c r="L19" s="95"/>
    </row>
    <row r="20" spans="1:12">
      <c r="A20" s="94" t="s">
        <v>259</v>
      </c>
      <c r="B20" s="77"/>
      <c r="C20" s="77"/>
      <c r="D20" s="77"/>
      <c r="E20" s="77"/>
      <c r="F20" s="77"/>
      <c r="G20" s="93" t="str">
        <f>IF(D20="","",(VLOOKUP(D20,Lookup!$E$3:$F$22,2,FALSE)*VLOOKUP(E20,Lookup!$G$3:$H$22,2,FALSE)+VLOOKUP(F20,Lookup!$I$3:$J$22,2,FALSE)))</f>
        <v/>
      </c>
      <c r="H20" s="77"/>
      <c r="I20" s="77"/>
      <c r="J20" s="77"/>
      <c r="K20" s="77"/>
      <c r="L20" s="95"/>
    </row>
    <row r="21" spans="1:12">
      <c r="A21" s="96" t="s">
        <v>260</v>
      </c>
      <c r="B21" s="77"/>
      <c r="C21" s="77"/>
      <c r="D21" s="77"/>
      <c r="E21" s="77"/>
      <c r="F21" s="77"/>
      <c r="G21" s="93" t="str">
        <f>IF(D21="","",(VLOOKUP(D21,Lookup!$E$3:$F$22,2,FALSE)*VLOOKUP(E21,Lookup!$G$3:$H$22,2,FALSE)+VLOOKUP(F21,Lookup!$I$3:$J$22,2,FALSE)))</f>
        <v/>
      </c>
      <c r="H21" s="77"/>
      <c r="I21" s="77"/>
      <c r="J21" s="77"/>
      <c r="K21" s="77"/>
      <c r="L21" s="95"/>
    </row>
    <row r="22" spans="1:12">
      <c r="A22" s="94" t="s">
        <v>261</v>
      </c>
      <c r="B22" s="77"/>
      <c r="C22" s="77"/>
      <c r="D22" s="77"/>
      <c r="E22" s="77"/>
      <c r="F22" s="77"/>
      <c r="G22" s="93" t="str">
        <f>IF(D22="","",(VLOOKUP(D22,Lookup!$E$3:$F$22,2,FALSE)*VLOOKUP(E22,Lookup!$G$3:$H$22,2,FALSE)+VLOOKUP(F22,Lookup!$I$3:$J$22,2,FALSE)))</f>
        <v/>
      </c>
      <c r="H22" s="77"/>
      <c r="I22" s="77"/>
      <c r="J22" s="77"/>
      <c r="K22" s="77"/>
      <c r="L22" s="95"/>
    </row>
    <row r="23" spans="1:12">
      <c r="A23" s="96" t="s">
        <v>262</v>
      </c>
      <c r="B23" s="77"/>
      <c r="C23" s="77"/>
      <c r="D23" s="77"/>
      <c r="E23" s="77"/>
      <c r="F23" s="77"/>
      <c r="G23" s="93" t="str">
        <f>IF(D23="","",(VLOOKUP(D23,Lookup!$E$3:$F$22,2,FALSE)*VLOOKUP(E23,Lookup!$G$3:$H$22,2,FALSE)+VLOOKUP(F23,Lookup!$I$3:$J$22,2,FALSE)))</f>
        <v/>
      </c>
      <c r="H23" s="77"/>
      <c r="I23" s="77"/>
      <c r="J23" s="77"/>
      <c r="K23" s="77"/>
      <c r="L23" s="95"/>
    </row>
    <row r="24" spans="1:12">
      <c r="A24" s="94" t="s">
        <v>263</v>
      </c>
      <c r="B24" s="77"/>
      <c r="C24" s="77"/>
      <c r="D24" s="77"/>
      <c r="E24" s="77"/>
      <c r="F24" s="77"/>
      <c r="G24" s="93" t="str">
        <f>IF(D24="","",(VLOOKUP(D24,Lookup!$E$3:$F$22,2,FALSE)*VLOOKUP(E24,Lookup!$G$3:$H$22,2,FALSE)+VLOOKUP(F24,Lookup!$I$3:$J$22,2,FALSE)))</f>
        <v/>
      </c>
      <c r="H24" s="77"/>
      <c r="I24" s="77"/>
      <c r="J24" s="77"/>
      <c r="K24" s="77"/>
      <c r="L24" s="95"/>
    </row>
    <row r="25" spans="1:12">
      <c r="A25" s="96" t="s">
        <v>264</v>
      </c>
      <c r="B25" s="77"/>
      <c r="C25" s="77"/>
      <c r="D25" s="77"/>
      <c r="E25" s="77"/>
      <c r="F25" s="77"/>
      <c r="G25" s="93" t="str">
        <f>IF(D25="","",(VLOOKUP(D25,Lookup!$E$3:$F$22,2,FALSE)*VLOOKUP(E25,Lookup!$G$3:$H$22,2,FALSE)+VLOOKUP(F25,Lookup!$I$3:$J$22,2,FALSE)))</f>
        <v/>
      </c>
      <c r="H25" s="77"/>
      <c r="I25" s="77"/>
      <c r="J25" s="77"/>
      <c r="K25" s="77"/>
      <c r="L25" s="95"/>
    </row>
    <row r="26" spans="1:12">
      <c r="A26" s="94" t="s">
        <v>265</v>
      </c>
      <c r="B26" s="77"/>
      <c r="C26" s="77"/>
      <c r="D26" s="77"/>
      <c r="E26" s="77"/>
      <c r="F26" s="77"/>
      <c r="G26" s="93" t="str">
        <f>IF(D26="","",(VLOOKUP(D26,Lookup!$E$3:$F$22,2,FALSE)*VLOOKUP(E26,Lookup!$G$3:$H$22,2,FALSE)+VLOOKUP(F26,Lookup!$I$3:$J$22,2,FALSE)))</f>
        <v/>
      </c>
      <c r="H26" s="77"/>
      <c r="I26" s="77"/>
      <c r="J26" s="77"/>
      <c r="K26" s="77"/>
      <c r="L26" s="95"/>
    </row>
    <row r="27" spans="1:12">
      <c r="A27" s="96" t="s">
        <v>266</v>
      </c>
      <c r="B27" s="77"/>
      <c r="C27" s="77"/>
      <c r="D27" s="77"/>
      <c r="E27" s="77"/>
      <c r="F27" s="77"/>
      <c r="G27" s="93" t="str">
        <f>IF(D27="","",(VLOOKUP(D27,Lookup!$E$3:$F$22,2,FALSE)*VLOOKUP(E27,Lookup!$G$3:$H$22,2,FALSE)+VLOOKUP(F27,Lookup!$I$3:$J$22,2,FALSE)))</f>
        <v/>
      </c>
      <c r="H27" s="77"/>
      <c r="I27" s="77"/>
      <c r="J27" s="77"/>
      <c r="K27" s="77"/>
      <c r="L27" s="95"/>
    </row>
    <row r="28" spans="1:12">
      <c r="A28" s="17" t="s">
        <v>267</v>
      </c>
      <c r="B28" s="18"/>
      <c r="C28" s="73"/>
      <c r="D28" s="18"/>
      <c r="E28" s="18"/>
      <c r="F28" s="18"/>
      <c r="G28" s="27" t="str">
        <f>IF(D28="","",(VLOOKUP(D28,Lookup!$E$3:$F$22,2,FALSE)*VLOOKUP(E28,Lookup!$G$3:$H$22,2,FALSE)+VLOOKUP(F28,Lookup!$I$3:$J$22,2,FALSE)))</f>
        <v/>
      </c>
      <c r="H28" s="18"/>
      <c r="I28" s="18"/>
      <c r="J28" s="18"/>
      <c r="K28" s="18"/>
      <c r="L28" s="19"/>
    </row>
    <row r="29" spans="1:12">
      <c r="A29" s="26" t="s">
        <v>268</v>
      </c>
      <c r="B29" s="18"/>
      <c r="C29" s="73"/>
      <c r="D29" s="18"/>
      <c r="E29" s="18"/>
      <c r="F29" s="18"/>
      <c r="G29" s="27" t="str">
        <f>IF(D29="","",(VLOOKUP(D29,Lookup!$E$3:$F$22,2,FALSE)*VLOOKUP(E29,Lookup!$G$3:$H$22,2,FALSE)+VLOOKUP(F29,Lookup!$I$3:$J$22,2,FALSE)))</f>
        <v/>
      </c>
      <c r="H29" s="18"/>
      <c r="I29" s="18"/>
      <c r="J29" s="18"/>
      <c r="K29" s="18"/>
      <c r="L29" s="19"/>
    </row>
    <row r="30" spans="1:12">
      <c r="A30" s="17" t="s">
        <v>269</v>
      </c>
      <c r="B30" s="18"/>
      <c r="C30" s="73"/>
      <c r="D30" s="18"/>
      <c r="E30" s="18"/>
      <c r="F30" s="18"/>
      <c r="G30" s="27" t="str">
        <f>IF(D30="","",(VLOOKUP(D30,Lookup!$E$3:$F$22,2,FALSE)*VLOOKUP(E30,Lookup!$G$3:$H$22,2,FALSE)+VLOOKUP(F30,Lookup!$I$3:$J$22,2,FALSE)))</f>
        <v/>
      </c>
      <c r="H30" s="18"/>
      <c r="I30" s="18"/>
      <c r="J30" s="18"/>
      <c r="K30" s="18"/>
      <c r="L30" s="19"/>
    </row>
    <row r="31" spans="1:12">
      <c r="A31" s="26" t="s">
        <v>270</v>
      </c>
      <c r="B31" s="18"/>
      <c r="C31" s="73"/>
      <c r="D31" s="18"/>
      <c r="E31" s="18"/>
      <c r="F31" s="18"/>
      <c r="G31" s="27" t="str">
        <f>IF(D31="","",(VLOOKUP(D31,Lookup!$E$3:$F$22,2,FALSE)*VLOOKUP(E31,Lookup!$G$3:$H$22,2,FALSE)+VLOOKUP(F31,Lookup!$I$3:$J$22,2,FALSE)))</f>
        <v/>
      </c>
      <c r="H31" s="18"/>
      <c r="I31" s="18"/>
      <c r="J31" s="18"/>
      <c r="K31" s="18"/>
      <c r="L31" s="19"/>
    </row>
    <row r="32" spans="1:12">
      <c r="A32" s="17" t="s">
        <v>271</v>
      </c>
      <c r="B32" s="18"/>
      <c r="C32" s="73"/>
      <c r="D32" s="18"/>
      <c r="E32" s="18"/>
      <c r="F32" s="18"/>
      <c r="G32" s="27" t="str">
        <f>IF(D32="","",(VLOOKUP(D32,Lookup!$E$3:$F$22,2,FALSE)*VLOOKUP(E32,Lookup!$G$3:$H$22,2,FALSE)+VLOOKUP(F32,Lookup!$I$3:$J$22,2,FALSE)))</f>
        <v/>
      </c>
      <c r="H32" s="18"/>
      <c r="I32" s="18"/>
      <c r="J32" s="18"/>
      <c r="K32" s="18"/>
      <c r="L32" s="19"/>
    </row>
    <row r="33" spans="1:12">
      <c r="A33" s="26" t="s">
        <v>272</v>
      </c>
      <c r="B33" s="18"/>
      <c r="C33" s="73"/>
      <c r="D33" s="18"/>
      <c r="E33" s="18"/>
      <c r="F33" s="18"/>
      <c r="G33" s="27" t="str">
        <f>IF(D33="","",(VLOOKUP(D33,Lookup!$E$3:$F$22,2,FALSE)*VLOOKUP(E33,Lookup!$G$3:$H$22,2,FALSE)+VLOOKUP(F33,Lookup!$I$3:$J$22,2,FALSE)))</f>
        <v/>
      </c>
      <c r="H33" s="18"/>
      <c r="I33" s="18"/>
      <c r="J33" s="18"/>
      <c r="K33" s="18"/>
      <c r="L33" s="19"/>
    </row>
    <row r="34" spans="1:12">
      <c r="A34" s="17" t="s">
        <v>273</v>
      </c>
      <c r="B34" s="18"/>
      <c r="C34" s="73"/>
      <c r="D34" s="18"/>
      <c r="E34" s="18"/>
      <c r="F34" s="18"/>
      <c r="G34" s="27" t="str">
        <f>IF(D34="","",(VLOOKUP(D34,Lookup!$E$3:$F$22,2,FALSE)*VLOOKUP(E34,Lookup!$G$3:$H$22,2,FALSE)+VLOOKUP(F34,Lookup!$I$3:$J$22,2,FALSE)))</f>
        <v/>
      </c>
      <c r="H34" s="18"/>
      <c r="I34" s="18"/>
      <c r="J34" s="18"/>
      <c r="K34" s="18"/>
      <c r="L34" s="19"/>
    </row>
    <row r="35" spans="1:12">
      <c r="A35" s="26" t="s">
        <v>274</v>
      </c>
      <c r="B35" s="18"/>
      <c r="C35" s="73"/>
      <c r="D35" s="18"/>
      <c r="E35" s="18"/>
      <c r="F35" s="18"/>
      <c r="G35" s="27" t="str">
        <f>IF(D35="","",(VLOOKUP(D35,Lookup!$E$3:$F$22,2,FALSE)*VLOOKUP(E35,Lookup!$G$3:$H$22,2,FALSE)+VLOOKUP(F35,Lookup!$I$3:$J$22,2,FALSE)))</f>
        <v/>
      </c>
      <c r="H35" s="18"/>
      <c r="I35" s="18"/>
      <c r="J35" s="18"/>
      <c r="K35" s="18"/>
      <c r="L35" s="19"/>
    </row>
    <row r="36" spans="1:12">
      <c r="A36" s="17" t="s">
        <v>275</v>
      </c>
      <c r="B36" s="18"/>
      <c r="C36" s="73"/>
      <c r="D36" s="18"/>
      <c r="E36" s="18"/>
      <c r="F36" s="18"/>
      <c r="G36" s="27" t="str">
        <f>IF(D36="","",(VLOOKUP(D36,Lookup!$E$3:$F$22,2,FALSE)*VLOOKUP(E36,Lookup!$G$3:$H$22,2,FALSE)+VLOOKUP(F36,Lookup!$I$3:$J$22,2,FALSE)))</f>
        <v/>
      </c>
      <c r="H36" s="18"/>
      <c r="I36" s="18"/>
      <c r="J36" s="18"/>
      <c r="K36" s="18"/>
      <c r="L36" s="19"/>
    </row>
    <row r="37" spans="1:12">
      <c r="A37" s="26" t="s">
        <v>276</v>
      </c>
      <c r="B37" s="18"/>
      <c r="C37" s="73"/>
      <c r="D37" s="18"/>
      <c r="E37" s="18"/>
      <c r="F37" s="18"/>
      <c r="G37" s="27" t="str">
        <f>IF(D37="","",(VLOOKUP(D37,Lookup!$E$3:$F$22,2,FALSE)*VLOOKUP(E37,Lookup!$G$3:$H$22,2,FALSE)+VLOOKUP(F37,Lookup!$I$3:$J$22,2,FALSE)))</f>
        <v/>
      </c>
      <c r="H37" s="18"/>
      <c r="I37" s="18"/>
      <c r="J37" s="18"/>
      <c r="K37" s="18"/>
      <c r="L37" s="19"/>
    </row>
    <row r="38" spans="1:12">
      <c r="A38" s="17" t="s">
        <v>277</v>
      </c>
      <c r="B38" s="18"/>
      <c r="C38" s="73"/>
      <c r="D38" s="18"/>
      <c r="E38" s="18"/>
      <c r="F38" s="18"/>
      <c r="G38" s="27" t="str">
        <f>IF(D38="","",(VLOOKUP(D38,Lookup!$E$3:$F$22,2,FALSE)*VLOOKUP(E38,Lookup!$G$3:$H$22,2,FALSE)+VLOOKUP(F38,Lookup!$I$3:$J$22,2,FALSE)))</f>
        <v/>
      </c>
      <c r="H38" s="18"/>
      <c r="I38" s="18"/>
      <c r="J38" s="18"/>
      <c r="K38" s="18"/>
      <c r="L38" s="19"/>
    </row>
    <row r="39" spans="1:12">
      <c r="A39" s="26" t="s">
        <v>278</v>
      </c>
      <c r="B39" s="18"/>
      <c r="C39" s="73"/>
      <c r="D39" s="18"/>
      <c r="E39" s="18"/>
      <c r="F39" s="18"/>
      <c r="G39" s="27" t="str">
        <f>IF(D39="","",(VLOOKUP(D39,Lookup!$E$3:$F$22,2,FALSE)*VLOOKUP(E39,Lookup!$G$3:$H$22,2,FALSE)+VLOOKUP(F39,Lookup!$I$3:$J$22,2,FALSE)))</f>
        <v/>
      </c>
      <c r="H39" s="18"/>
      <c r="I39" s="18"/>
      <c r="J39" s="18"/>
      <c r="K39" s="18"/>
      <c r="L39" s="19"/>
    </row>
    <row r="40" spans="1:12">
      <c r="A40" s="17" t="s">
        <v>279</v>
      </c>
      <c r="B40" s="18"/>
      <c r="C40" s="73"/>
      <c r="D40" s="18"/>
      <c r="E40" s="18"/>
      <c r="F40" s="18"/>
      <c r="G40" s="27" t="str">
        <f>IF(D40="","",(VLOOKUP(D40,Lookup!$E$3:$F$22,2,FALSE)*VLOOKUP(E40,Lookup!$G$3:$H$22,2,FALSE)+VLOOKUP(F40,Lookup!$I$3:$J$22,2,FALSE)))</f>
        <v/>
      </c>
      <c r="H40" s="18"/>
      <c r="I40" s="18"/>
      <c r="J40" s="18"/>
      <c r="K40" s="18"/>
      <c r="L40" s="19"/>
    </row>
    <row r="41" spans="1:12">
      <c r="A41" s="26" t="s">
        <v>280</v>
      </c>
      <c r="B41" s="18"/>
      <c r="C41" s="73"/>
      <c r="D41" s="18"/>
      <c r="E41" s="18"/>
      <c r="F41" s="18"/>
      <c r="G41" s="27" t="str">
        <f>IF(D41="","",(VLOOKUP(D41,Lookup!$E$3:$F$22,2,FALSE)*VLOOKUP(E41,Lookup!$G$3:$H$22,2,FALSE)+VLOOKUP(F41,Lookup!$I$3:$J$22,2,FALSE)))</f>
        <v/>
      </c>
      <c r="H41" s="18"/>
      <c r="I41" s="18"/>
      <c r="J41" s="18"/>
      <c r="K41" s="18"/>
      <c r="L41" s="19"/>
    </row>
    <row r="42" spans="1:12">
      <c r="A42" s="17" t="s">
        <v>281</v>
      </c>
      <c r="B42" s="18"/>
      <c r="C42" s="73"/>
      <c r="D42" s="18"/>
      <c r="E42" s="18"/>
      <c r="F42" s="18"/>
      <c r="G42" s="27" t="str">
        <f>IF(D42="","",(VLOOKUP(D42,Lookup!$E$3:$F$22,2,FALSE)*VLOOKUP(E42,Lookup!$G$3:$H$22,2,FALSE)+VLOOKUP(F42,Lookup!$I$3:$J$22,2,FALSE)))</f>
        <v/>
      </c>
      <c r="H42" s="18"/>
      <c r="I42" s="18"/>
      <c r="J42" s="18"/>
      <c r="K42" s="18"/>
      <c r="L42" s="19"/>
    </row>
    <row r="43" spans="1:12">
      <c r="A43" s="26" t="s">
        <v>282</v>
      </c>
      <c r="B43" s="18"/>
      <c r="C43" s="73"/>
      <c r="D43" s="18"/>
      <c r="E43" s="18"/>
      <c r="F43" s="18"/>
      <c r="G43" s="27" t="str">
        <f>IF(D43="","",(VLOOKUP(D43,Lookup!$E$3:$F$22,2,FALSE)*VLOOKUP(E43,Lookup!$G$3:$H$22,2,FALSE)+VLOOKUP(F43,Lookup!$I$3:$J$22,2,FALSE)))</f>
        <v/>
      </c>
      <c r="H43" s="18"/>
      <c r="I43" s="18"/>
      <c r="J43" s="18"/>
      <c r="K43" s="18"/>
      <c r="L43" s="19"/>
    </row>
    <row r="44" spans="1:12">
      <c r="A44" s="17" t="s">
        <v>283</v>
      </c>
      <c r="B44" s="18"/>
      <c r="C44" s="73"/>
      <c r="D44" s="18"/>
      <c r="E44" s="18"/>
      <c r="F44" s="18"/>
      <c r="G44" s="27" t="str">
        <f>IF(D44="","",(VLOOKUP(D44,Lookup!$E$3:$F$22,2,FALSE)*VLOOKUP(E44,Lookup!$G$3:$H$22,2,FALSE)+VLOOKUP(F44,Lookup!$I$3:$J$22,2,FALSE)))</f>
        <v/>
      </c>
      <c r="H44" s="18"/>
      <c r="I44" s="18"/>
      <c r="J44" s="18"/>
      <c r="K44" s="18"/>
      <c r="L44" s="19"/>
    </row>
    <row r="45" spans="1:12">
      <c r="A45" s="26" t="s">
        <v>284</v>
      </c>
      <c r="B45" s="18"/>
      <c r="C45" s="73"/>
      <c r="D45" s="18"/>
      <c r="E45" s="18"/>
      <c r="F45" s="18"/>
      <c r="G45" s="27" t="str">
        <f>IF(D45="","",(VLOOKUP(D45,Lookup!$E$3:$F$22,2,FALSE)*VLOOKUP(E45,Lookup!$G$3:$H$22,2,FALSE)+VLOOKUP(F45,Lookup!$I$3:$J$22,2,FALSE)))</f>
        <v/>
      </c>
      <c r="H45" s="18"/>
      <c r="I45" s="18"/>
      <c r="J45" s="18"/>
      <c r="K45" s="18"/>
      <c r="L45" s="19"/>
    </row>
    <row r="46" spans="1:12">
      <c r="A46" s="17" t="s">
        <v>285</v>
      </c>
      <c r="B46" s="18"/>
      <c r="C46" s="73"/>
      <c r="D46" s="18"/>
      <c r="E46" s="18"/>
      <c r="F46" s="18"/>
      <c r="G46" s="27" t="str">
        <f>IF(D46="","",(VLOOKUP(D46,Lookup!$E$3:$F$22,2,FALSE)*VLOOKUP(E46,Lookup!$G$3:$H$22,2,FALSE)+VLOOKUP(F46,Lookup!$I$3:$J$22,2,FALSE)))</f>
        <v/>
      </c>
      <c r="H46" s="18"/>
      <c r="I46" s="18"/>
      <c r="J46" s="18"/>
      <c r="K46" s="18"/>
      <c r="L46" s="19"/>
    </row>
    <row r="47" spans="1:12">
      <c r="A47" s="26" t="s">
        <v>286</v>
      </c>
      <c r="B47" s="18"/>
      <c r="C47" s="73"/>
      <c r="D47" s="18"/>
      <c r="E47" s="18"/>
      <c r="F47" s="18"/>
      <c r="G47" s="27" t="str">
        <f>IF(D47="","",(VLOOKUP(D47,Lookup!$E$3:$F$22,2,FALSE)*VLOOKUP(E47,Lookup!$G$3:$H$22,2,FALSE)+VLOOKUP(F47,Lookup!$I$3:$J$22,2,FALSE)))</f>
        <v/>
      </c>
      <c r="H47" s="18"/>
      <c r="I47" s="18"/>
      <c r="J47" s="18"/>
      <c r="K47" s="18"/>
      <c r="L47" s="19"/>
    </row>
    <row r="48" spans="1:12">
      <c r="A48" s="17" t="s">
        <v>287</v>
      </c>
      <c r="B48" s="18"/>
      <c r="C48" s="73"/>
      <c r="D48" s="18"/>
      <c r="E48" s="18"/>
      <c r="F48" s="18"/>
      <c r="G48" s="27" t="str">
        <f>IF(D48="","",(VLOOKUP(D48,Lookup!$E$3:$F$22,2,FALSE)*VLOOKUP(E48,Lookup!$G$3:$H$22,2,FALSE)+VLOOKUP(F48,Lookup!$I$3:$J$22,2,FALSE)))</f>
        <v/>
      </c>
      <c r="H48" s="18"/>
      <c r="I48" s="18"/>
      <c r="J48" s="18"/>
      <c r="K48" s="18"/>
      <c r="L48" s="19"/>
    </row>
    <row r="49" spans="1:12">
      <c r="A49" s="26" t="s">
        <v>288</v>
      </c>
      <c r="B49" s="18"/>
      <c r="C49" s="73"/>
      <c r="D49" s="18"/>
      <c r="E49" s="18"/>
      <c r="F49" s="18"/>
      <c r="G49" s="27" t="str">
        <f>IF(D49="","",(VLOOKUP(D49,Lookup!$E$3:$F$22,2,FALSE)*VLOOKUP(E49,Lookup!$G$3:$H$22,2,FALSE)+VLOOKUP(F49,Lookup!$I$3:$J$22,2,FALSE)))</f>
        <v/>
      </c>
      <c r="H49" s="18"/>
      <c r="I49" s="18"/>
      <c r="J49" s="18"/>
      <c r="K49" s="18"/>
      <c r="L49" s="19"/>
    </row>
    <row r="50" spans="1:12">
      <c r="A50" s="17" t="s">
        <v>289</v>
      </c>
      <c r="B50" s="18"/>
      <c r="C50" s="73"/>
      <c r="D50" s="18"/>
      <c r="E50" s="18"/>
      <c r="F50" s="18"/>
      <c r="G50" s="27" t="str">
        <f>IF(D50="","",(VLOOKUP(D50,Lookup!$E$3:$F$22,2,FALSE)*VLOOKUP(E50,Lookup!$G$3:$H$22,2,FALSE)+VLOOKUP(F50,Lookup!$I$3:$J$22,2,FALSE)))</f>
        <v/>
      </c>
      <c r="H50" s="18"/>
      <c r="I50" s="18"/>
      <c r="J50" s="18"/>
      <c r="K50" s="18"/>
      <c r="L50" s="19"/>
    </row>
    <row r="51" spans="1:12">
      <c r="A51" s="26" t="s">
        <v>290</v>
      </c>
      <c r="B51" s="18"/>
      <c r="C51" s="73"/>
      <c r="D51" s="18"/>
      <c r="E51" s="18"/>
      <c r="F51" s="18"/>
      <c r="G51" s="27" t="str">
        <f>IF(D51="","",(VLOOKUP(D51,Lookup!$E$3:$F$22,2,FALSE)*VLOOKUP(E51,Lookup!$G$3:$H$22,2,FALSE)+VLOOKUP(F51,Lookup!$I$3:$J$22,2,FALSE)))</f>
        <v/>
      </c>
      <c r="H51" s="18"/>
      <c r="I51" s="18"/>
      <c r="J51" s="18"/>
      <c r="K51" s="18"/>
      <c r="L51" s="19"/>
    </row>
    <row r="52" spans="1:12">
      <c r="A52" s="17" t="s">
        <v>291</v>
      </c>
      <c r="B52" s="18"/>
      <c r="C52" s="73"/>
      <c r="D52" s="18"/>
      <c r="E52" s="18"/>
      <c r="F52" s="18"/>
      <c r="G52" s="27" t="str">
        <f>IF(D52="","",(VLOOKUP(D52,Lookup!$E$3:$F$22,2,FALSE)*VLOOKUP(E52,Lookup!$G$3:$H$22,2,FALSE)+VLOOKUP(F52,Lookup!$I$3:$J$22,2,FALSE)))</f>
        <v/>
      </c>
      <c r="H52" s="18"/>
      <c r="I52" s="18"/>
      <c r="J52" s="18"/>
      <c r="K52" s="18"/>
      <c r="L52" s="19"/>
    </row>
    <row r="53" spans="1:12">
      <c r="A53" s="26" t="s">
        <v>292</v>
      </c>
      <c r="B53" s="18"/>
      <c r="C53" s="73"/>
      <c r="D53" s="18"/>
      <c r="E53" s="18"/>
      <c r="F53" s="18"/>
      <c r="G53" s="27" t="str">
        <f>IF(D53="","",(VLOOKUP(D53,Lookup!$E$3:$F$22,2,FALSE)*VLOOKUP(E53,Lookup!$G$3:$H$22,2,FALSE)+VLOOKUP(F53,Lookup!$I$3:$J$22,2,FALSE)))</f>
        <v/>
      </c>
      <c r="H53" s="18"/>
      <c r="I53" s="18"/>
      <c r="J53" s="18"/>
      <c r="K53" s="18"/>
      <c r="L53" s="19"/>
    </row>
    <row r="54" spans="1:12">
      <c r="A54" s="17" t="s">
        <v>293</v>
      </c>
      <c r="B54" s="18"/>
      <c r="C54" s="73"/>
      <c r="D54" s="18"/>
      <c r="E54" s="18"/>
      <c r="F54" s="18"/>
      <c r="G54" s="27" t="str">
        <f>IF(D54="","",(VLOOKUP(D54,Lookup!$E$3:$F$22,2,FALSE)*VLOOKUP(E54,Lookup!$G$3:$H$22,2,FALSE)+VLOOKUP(F54,Lookup!$I$3:$J$22,2,FALSE)))</f>
        <v/>
      </c>
      <c r="H54" s="18"/>
      <c r="I54" s="18"/>
      <c r="J54" s="18"/>
      <c r="K54" s="18"/>
      <c r="L54" s="19"/>
    </row>
    <row r="55" spans="1:12">
      <c r="A55" s="26" t="s">
        <v>294</v>
      </c>
      <c r="B55" s="18"/>
      <c r="C55" s="73"/>
      <c r="D55" s="18"/>
      <c r="E55" s="18"/>
      <c r="F55" s="18"/>
      <c r="G55" s="27" t="str">
        <f>IF(D55="","",(VLOOKUP(D55,Lookup!$E$3:$F$22,2,FALSE)*VLOOKUP(E55,Lookup!$G$3:$H$22,2,FALSE)+VLOOKUP(F55,Lookup!$I$3:$J$22,2,FALSE)))</f>
        <v/>
      </c>
      <c r="H55" s="18"/>
      <c r="I55" s="18"/>
      <c r="J55" s="18"/>
      <c r="K55" s="18"/>
      <c r="L55" s="19"/>
    </row>
    <row r="56" spans="1:12">
      <c r="A56" s="17" t="s">
        <v>295</v>
      </c>
      <c r="B56" s="18"/>
      <c r="C56" s="73"/>
      <c r="D56" s="18"/>
      <c r="E56" s="18"/>
      <c r="F56" s="18"/>
      <c r="G56" s="27" t="str">
        <f>IF(D56="","",(VLOOKUP(D56,Lookup!$E$3:$F$22,2,FALSE)*VLOOKUP(E56,Lookup!$G$3:$H$22,2,FALSE)+VLOOKUP(F56,Lookup!$I$3:$J$22,2,FALSE)))</f>
        <v/>
      </c>
      <c r="H56" s="18"/>
      <c r="I56" s="18"/>
      <c r="J56" s="18"/>
      <c r="K56" s="18"/>
      <c r="L56" s="19"/>
    </row>
    <row r="57" spans="1:12">
      <c r="A57" s="26" t="s">
        <v>296</v>
      </c>
      <c r="B57" s="18"/>
      <c r="C57" s="73"/>
      <c r="D57" s="18"/>
      <c r="E57" s="18"/>
      <c r="F57" s="18"/>
      <c r="G57" s="27" t="str">
        <f>IF(D57="","",(VLOOKUP(D57,Lookup!$E$3:$F$22,2,FALSE)*VLOOKUP(E57,Lookup!$G$3:$H$22,2,FALSE)+VLOOKUP(F57,Lookup!$I$3:$J$22,2,FALSE)))</f>
        <v/>
      </c>
      <c r="H57" s="18"/>
      <c r="I57" s="18"/>
      <c r="J57" s="18"/>
      <c r="K57" s="18"/>
      <c r="L57" s="19"/>
    </row>
    <row r="58" spans="1:12">
      <c r="A58" s="17" t="s">
        <v>297</v>
      </c>
      <c r="B58" s="18"/>
      <c r="C58" s="73"/>
      <c r="D58" s="18"/>
      <c r="E58" s="18"/>
      <c r="F58" s="18"/>
      <c r="G58" s="27" t="str">
        <f>IF(D58="","",(VLOOKUP(D58,Lookup!$E$3:$F$22,2,FALSE)*VLOOKUP(E58,Lookup!$G$3:$H$22,2,FALSE)+VLOOKUP(F58,Lookup!$I$3:$J$22,2,FALSE)))</f>
        <v/>
      </c>
      <c r="H58" s="18"/>
      <c r="I58" s="18"/>
      <c r="J58" s="18"/>
      <c r="K58" s="18"/>
      <c r="L58" s="19"/>
    </row>
    <row r="59" spans="1:12">
      <c r="A59" s="26" t="s">
        <v>298</v>
      </c>
      <c r="B59" s="18"/>
      <c r="C59" s="73"/>
      <c r="D59" s="18"/>
      <c r="E59" s="18"/>
      <c r="F59" s="18"/>
      <c r="G59" s="27" t="str">
        <f>IF(D59="","",(VLOOKUP(D59,Lookup!$E$3:$F$22,2,FALSE)*VLOOKUP(E59,Lookup!$G$3:$H$22,2,FALSE)+VLOOKUP(F59,Lookup!$I$3:$J$22,2,FALSE)))</f>
        <v/>
      </c>
      <c r="H59" s="18"/>
      <c r="I59" s="18"/>
      <c r="J59" s="18"/>
      <c r="K59" s="18"/>
      <c r="L59" s="19"/>
    </row>
    <row r="60" spans="1:12">
      <c r="A60" s="17" t="s">
        <v>299</v>
      </c>
      <c r="B60" s="18"/>
      <c r="C60" s="73"/>
      <c r="D60" s="18"/>
      <c r="E60" s="18"/>
      <c r="F60" s="18"/>
      <c r="G60" s="27" t="str">
        <f>IF(D60="","",(VLOOKUP(D60,Lookup!$E$3:$F$22,2,FALSE)*VLOOKUP(E60,Lookup!$G$3:$H$22,2,FALSE)+VLOOKUP(F60,Lookup!$I$3:$J$22,2,FALSE)))</f>
        <v/>
      </c>
      <c r="H60" s="18"/>
      <c r="I60" s="18"/>
      <c r="J60" s="18"/>
      <c r="K60" s="18"/>
      <c r="L60" s="19"/>
    </row>
    <row r="61" spans="1:12">
      <c r="A61" s="26" t="s">
        <v>300</v>
      </c>
      <c r="B61" s="18"/>
      <c r="C61" s="73"/>
      <c r="D61" s="18"/>
      <c r="E61" s="18"/>
      <c r="F61" s="18"/>
      <c r="G61" s="27" t="str">
        <f>IF(D61="","",(VLOOKUP(D61,Lookup!$E$3:$F$22,2,FALSE)*VLOOKUP(E61,Lookup!$G$3:$H$22,2,FALSE)+VLOOKUP(F61,Lookup!$I$3:$J$22,2,FALSE)))</f>
        <v/>
      </c>
      <c r="H61" s="18"/>
      <c r="I61" s="18"/>
      <c r="J61" s="18"/>
      <c r="K61" s="18"/>
      <c r="L61" s="19"/>
    </row>
    <row r="62" spans="1:12">
      <c r="A62" s="17" t="s">
        <v>301</v>
      </c>
      <c r="B62" s="18"/>
      <c r="C62" s="73"/>
      <c r="D62" s="18"/>
      <c r="E62" s="18"/>
      <c r="F62" s="18"/>
      <c r="G62" s="27" t="str">
        <f>IF(D62="","",(VLOOKUP(D62,Lookup!$E$3:$F$22,2,FALSE)*VLOOKUP(E62,Lookup!$G$3:$H$22,2,FALSE)+VLOOKUP(F62,Lookup!$I$3:$J$22,2,FALSE)))</f>
        <v/>
      </c>
      <c r="H62" s="18"/>
      <c r="I62" s="18"/>
      <c r="J62" s="18"/>
      <c r="K62" s="18"/>
      <c r="L62" s="19"/>
    </row>
    <row r="63" spans="1:12">
      <c r="A63" s="26" t="s">
        <v>302</v>
      </c>
      <c r="B63" s="18"/>
      <c r="C63" s="73"/>
      <c r="D63" s="18"/>
      <c r="E63" s="18"/>
      <c r="F63" s="18"/>
      <c r="G63" s="27" t="str">
        <f>IF(D63="","",(VLOOKUP(D63,Lookup!$E$3:$F$22,2,FALSE)*VLOOKUP(E63,Lookup!$G$3:$H$22,2,FALSE)+VLOOKUP(F63,Lookup!$I$3:$J$22,2,FALSE)))</f>
        <v/>
      </c>
      <c r="H63" s="18"/>
      <c r="I63" s="18"/>
      <c r="J63" s="18"/>
      <c r="K63" s="18"/>
      <c r="L63" s="19"/>
    </row>
    <row r="64" spans="1:12">
      <c r="A64" s="17" t="s">
        <v>303</v>
      </c>
      <c r="B64" s="18"/>
      <c r="C64" s="73"/>
      <c r="D64" s="18"/>
      <c r="E64" s="18"/>
      <c r="F64" s="18"/>
      <c r="G64" s="27" t="str">
        <f>IF(D64="","",(VLOOKUP(D64,Lookup!$E$3:$F$22,2,FALSE)*VLOOKUP(E64,Lookup!$G$3:$H$22,2,FALSE)+VLOOKUP(F64,Lookup!$I$3:$J$22,2,FALSE)))</f>
        <v/>
      </c>
      <c r="H64" s="18"/>
      <c r="I64" s="18"/>
      <c r="J64" s="18"/>
      <c r="K64" s="18"/>
      <c r="L64" s="19"/>
    </row>
    <row r="65" spans="1:12">
      <c r="A65" s="26" t="s">
        <v>304</v>
      </c>
      <c r="B65" s="18"/>
      <c r="C65" s="73"/>
      <c r="D65" s="18"/>
      <c r="E65" s="18"/>
      <c r="F65" s="18"/>
      <c r="G65" s="27" t="str">
        <f>IF(D65="","",(VLOOKUP(D65,Lookup!$E$3:$F$22,2,FALSE)*VLOOKUP(E65,Lookup!$G$3:$H$22,2,FALSE)+VLOOKUP(F65,Lookup!$I$3:$J$22,2,FALSE)))</f>
        <v/>
      </c>
      <c r="H65" s="18"/>
      <c r="I65" s="18"/>
      <c r="J65" s="18"/>
      <c r="K65" s="18"/>
      <c r="L65" s="19"/>
    </row>
    <row r="66" spans="1:12">
      <c r="A66" s="17" t="s">
        <v>305</v>
      </c>
      <c r="B66" s="18"/>
      <c r="C66" s="73"/>
      <c r="D66" s="18"/>
      <c r="E66" s="18"/>
      <c r="F66" s="18"/>
      <c r="G66" s="27" t="str">
        <f>IF(D66="","",(VLOOKUP(D66,Lookup!$E$3:$F$22,2,FALSE)*VLOOKUP(E66,Lookup!$G$3:$H$22,2,FALSE)+VLOOKUP(F66,Lookup!$I$3:$J$22,2,FALSE)))</f>
        <v/>
      </c>
      <c r="H66" s="18"/>
      <c r="I66" s="18"/>
      <c r="J66" s="18"/>
      <c r="K66" s="18"/>
      <c r="L66" s="19"/>
    </row>
    <row r="67" spans="1:12">
      <c r="A67" s="26" t="s">
        <v>306</v>
      </c>
      <c r="B67" s="18"/>
      <c r="C67" s="73"/>
      <c r="D67" s="18"/>
      <c r="E67" s="18"/>
      <c r="F67" s="18"/>
      <c r="G67" s="27" t="str">
        <f>IF(D67="","",(VLOOKUP(D67,Lookup!$E$3:$F$22,2,FALSE)*VLOOKUP(E67,Lookup!$G$3:$H$22,2,FALSE)+VLOOKUP(F67,Lookup!$I$3:$J$22,2,FALSE)))</f>
        <v/>
      </c>
      <c r="H67" s="18"/>
      <c r="I67" s="18"/>
      <c r="J67" s="18"/>
      <c r="K67" s="18"/>
      <c r="L67" s="19"/>
    </row>
    <row r="68" spans="1:12">
      <c r="A68" s="17" t="s">
        <v>307</v>
      </c>
      <c r="B68" s="18"/>
      <c r="C68" s="73"/>
      <c r="D68" s="18"/>
      <c r="E68" s="18"/>
      <c r="F68" s="18"/>
      <c r="G68" s="27" t="str">
        <f>IF(D68="","",(VLOOKUP(D68,Lookup!$E$3:$F$22,2,FALSE)*VLOOKUP(E68,Lookup!$G$3:$H$22,2,FALSE)+VLOOKUP(F68,Lookup!$I$3:$J$22,2,FALSE)))</f>
        <v/>
      </c>
      <c r="H68" s="18"/>
      <c r="I68" s="18"/>
      <c r="J68" s="18"/>
      <c r="K68" s="18"/>
      <c r="L68" s="19"/>
    </row>
    <row r="69" spans="1:12">
      <c r="A69" s="26" t="s">
        <v>308</v>
      </c>
      <c r="B69" s="18"/>
      <c r="C69" s="73"/>
      <c r="D69" s="18"/>
      <c r="E69" s="18"/>
      <c r="F69" s="18"/>
      <c r="G69" s="27" t="str">
        <f>IF(D69="","",(VLOOKUP(D69,Lookup!$E$3:$F$22,2,FALSE)*VLOOKUP(E69,Lookup!$G$3:$H$22,2,FALSE)+VLOOKUP(F69,Lookup!$I$3:$J$22,2,FALSE)))</f>
        <v/>
      </c>
      <c r="H69" s="18"/>
      <c r="I69" s="18"/>
      <c r="J69" s="18"/>
      <c r="K69" s="18"/>
      <c r="L69" s="19"/>
    </row>
    <row r="70" spans="1:12">
      <c r="A70" s="17" t="s">
        <v>309</v>
      </c>
      <c r="B70" s="18"/>
      <c r="C70" s="73"/>
      <c r="D70" s="18"/>
      <c r="E70" s="18"/>
      <c r="F70" s="18"/>
      <c r="G70" s="27" t="str">
        <f>IF(D70="","",(VLOOKUP(D70,Lookup!$E$3:$F$22,2,FALSE)*VLOOKUP(E70,Lookup!$G$3:$H$22,2,FALSE)+VLOOKUP(F70,Lookup!$I$3:$J$22,2,FALSE)))</f>
        <v/>
      </c>
      <c r="H70" s="18"/>
      <c r="I70" s="18"/>
      <c r="J70" s="18"/>
      <c r="K70" s="18"/>
      <c r="L70" s="19"/>
    </row>
    <row r="71" spans="1:12">
      <c r="A71" s="26" t="s">
        <v>310</v>
      </c>
      <c r="B71" s="18"/>
      <c r="C71" s="73"/>
      <c r="D71" s="18"/>
      <c r="E71" s="18"/>
      <c r="F71" s="18"/>
      <c r="G71" s="27" t="str">
        <f>IF(D71="","",(VLOOKUP(D71,Lookup!$E$3:$F$22,2,FALSE)*VLOOKUP(E71,Lookup!$G$3:$H$22,2,FALSE)+VLOOKUP(F71,Lookup!$I$3:$J$22,2,FALSE)))</f>
        <v/>
      </c>
      <c r="H71" s="18"/>
      <c r="I71" s="18"/>
      <c r="J71" s="18"/>
      <c r="K71" s="18"/>
      <c r="L71" s="19"/>
    </row>
    <row r="72" spans="1:12">
      <c r="A72" s="17" t="s">
        <v>311</v>
      </c>
      <c r="B72" s="18"/>
      <c r="C72" s="73"/>
      <c r="D72" s="18"/>
      <c r="E72" s="18"/>
      <c r="F72" s="18"/>
      <c r="G72" s="27" t="str">
        <f>IF(D72="","",(VLOOKUP(D72,Lookup!$E$3:$F$22,2,FALSE)*VLOOKUP(E72,Lookup!$G$3:$H$22,2,FALSE)+VLOOKUP(F72,Lookup!$I$3:$J$22,2,FALSE)))</f>
        <v/>
      </c>
      <c r="H72" s="18"/>
      <c r="I72" s="18"/>
      <c r="J72" s="18"/>
      <c r="K72" s="18"/>
      <c r="L72" s="19"/>
    </row>
    <row r="73" spans="1:12">
      <c r="A73" s="26" t="s">
        <v>312</v>
      </c>
      <c r="B73" s="18"/>
      <c r="C73" s="73"/>
      <c r="D73" s="18"/>
      <c r="E73" s="18"/>
      <c r="F73" s="18"/>
      <c r="G73" s="27" t="str">
        <f>IF(D73="","",(VLOOKUP(D73,Lookup!$E$3:$F$22,2,FALSE)*VLOOKUP(E73,Lookup!$G$3:$H$22,2,FALSE)+VLOOKUP(F73,Lookup!$I$3:$J$22,2,FALSE)))</f>
        <v/>
      </c>
      <c r="H73" s="18"/>
      <c r="I73" s="18"/>
      <c r="J73" s="18"/>
      <c r="K73" s="18"/>
      <c r="L73" s="19"/>
    </row>
    <row r="74" spans="1:12">
      <c r="A74" s="17" t="s">
        <v>313</v>
      </c>
      <c r="B74" s="18"/>
      <c r="C74" s="73"/>
      <c r="D74" s="18"/>
      <c r="E74" s="18"/>
      <c r="F74" s="18"/>
      <c r="G74" s="27" t="str">
        <f>IF(D74="","",(VLOOKUP(D74,Lookup!$E$3:$F$22,2,FALSE)*VLOOKUP(E74,Lookup!$G$3:$H$22,2,FALSE)+VLOOKUP(F74,Lookup!$I$3:$J$22,2,FALSE)))</f>
        <v/>
      </c>
      <c r="H74" s="18"/>
      <c r="I74" s="18"/>
      <c r="J74" s="18"/>
      <c r="K74" s="18"/>
      <c r="L74" s="19"/>
    </row>
    <row r="75" spans="1:12">
      <c r="A75" s="26" t="s">
        <v>314</v>
      </c>
      <c r="B75" s="18"/>
      <c r="C75" s="73"/>
      <c r="D75" s="18"/>
      <c r="E75" s="18"/>
      <c r="F75" s="18"/>
      <c r="G75" s="27" t="str">
        <f>IF(D75="","",(VLOOKUP(D75,Lookup!$E$3:$F$22,2,FALSE)*VLOOKUP(E75,Lookup!$G$3:$H$22,2,FALSE)+VLOOKUP(F75,Lookup!$I$3:$J$22,2,FALSE)))</f>
        <v/>
      </c>
      <c r="H75" s="18"/>
      <c r="I75" s="18"/>
      <c r="J75" s="18"/>
      <c r="K75" s="18"/>
      <c r="L75" s="19"/>
    </row>
    <row r="76" spans="1:12">
      <c r="A76" s="17" t="s">
        <v>315</v>
      </c>
      <c r="B76" s="18"/>
      <c r="C76" s="73"/>
      <c r="D76" s="18"/>
      <c r="E76" s="18"/>
      <c r="F76" s="18"/>
      <c r="G76" s="27" t="str">
        <f>IF(D76="","",(VLOOKUP(D76,Lookup!$E$3:$F$22,2,FALSE)*VLOOKUP(E76,Lookup!$G$3:$H$22,2,FALSE)+VLOOKUP(F76,Lookup!$I$3:$J$22,2,FALSE)))</f>
        <v/>
      </c>
      <c r="H76" s="18"/>
      <c r="I76" s="18"/>
      <c r="J76" s="18"/>
      <c r="K76" s="18"/>
      <c r="L76" s="19"/>
    </row>
    <row r="77" spans="1:12">
      <c r="A77" s="26" t="s">
        <v>316</v>
      </c>
      <c r="B77" s="18"/>
      <c r="C77" s="73"/>
      <c r="D77" s="18"/>
      <c r="E77" s="18"/>
      <c r="F77" s="18"/>
      <c r="G77" s="27" t="str">
        <f>IF(D77="","",(VLOOKUP(D77,Lookup!$E$3:$F$22,2,FALSE)*VLOOKUP(E77,Lookup!$G$3:$H$22,2,FALSE)+VLOOKUP(F77,Lookup!$I$3:$J$22,2,FALSE)))</f>
        <v/>
      </c>
      <c r="H77" s="18"/>
      <c r="I77" s="18"/>
      <c r="J77" s="18"/>
      <c r="K77" s="18"/>
      <c r="L77" s="19"/>
    </row>
    <row r="78" spans="1:12">
      <c r="A78" s="17" t="s">
        <v>317</v>
      </c>
      <c r="B78" s="18"/>
      <c r="C78" s="73"/>
      <c r="D78" s="18"/>
      <c r="E78" s="18"/>
      <c r="F78" s="18"/>
      <c r="G78" s="27" t="str">
        <f>IF(D78="","",(VLOOKUP(D78,Lookup!$E$3:$F$22,2,FALSE)*VLOOKUP(E78,Lookup!$G$3:$H$22,2,FALSE)+VLOOKUP(F78,Lookup!$I$3:$J$22,2,FALSE)))</f>
        <v/>
      </c>
      <c r="H78" s="18"/>
      <c r="I78" s="18"/>
      <c r="J78" s="18"/>
      <c r="K78" s="18"/>
      <c r="L78" s="19"/>
    </row>
    <row r="79" spans="1:12">
      <c r="A79" s="26" t="s">
        <v>318</v>
      </c>
      <c r="B79" s="18"/>
      <c r="C79" s="73"/>
      <c r="D79" s="18"/>
      <c r="E79" s="18"/>
      <c r="F79" s="18"/>
      <c r="G79" s="27" t="str">
        <f>IF(D79="","",(VLOOKUP(D79,Lookup!$E$3:$F$22,2,FALSE)*VLOOKUP(E79,Lookup!$G$3:$H$22,2,FALSE)+VLOOKUP(F79,Lookup!$I$3:$J$22,2,FALSE)))</f>
        <v/>
      </c>
      <c r="H79" s="18"/>
      <c r="I79" s="18"/>
      <c r="J79" s="18"/>
      <c r="K79" s="18"/>
      <c r="L79" s="19"/>
    </row>
    <row r="80" spans="1:12">
      <c r="A80" s="17" t="s">
        <v>319</v>
      </c>
      <c r="B80" s="18"/>
      <c r="C80" s="73"/>
      <c r="D80" s="18"/>
      <c r="E80" s="18"/>
      <c r="F80" s="18"/>
      <c r="G80" s="27" t="str">
        <f>IF(D80="","",(VLOOKUP(D80,Lookup!$E$3:$F$22,2,FALSE)*VLOOKUP(E80,Lookup!$G$3:$H$22,2,FALSE)+VLOOKUP(F80,Lookup!$I$3:$J$22,2,FALSE)))</f>
        <v/>
      </c>
      <c r="H80" s="18"/>
      <c r="I80" s="18"/>
      <c r="J80" s="18"/>
      <c r="K80" s="18"/>
      <c r="L80" s="19"/>
    </row>
    <row r="81" spans="1:12">
      <c r="A81" s="26" t="s">
        <v>320</v>
      </c>
      <c r="B81" s="18"/>
      <c r="C81" s="73"/>
      <c r="D81" s="18"/>
      <c r="E81" s="18"/>
      <c r="F81" s="18"/>
      <c r="G81" s="27" t="str">
        <f>IF(D81="","",(VLOOKUP(D81,Lookup!$E$3:$F$22,2,FALSE)*VLOOKUP(E81,Lookup!$G$3:$H$22,2,FALSE)+VLOOKUP(F81,Lookup!$I$3:$J$22,2,FALSE)))</f>
        <v/>
      </c>
      <c r="H81" s="18"/>
      <c r="I81" s="18"/>
      <c r="J81" s="18"/>
      <c r="K81" s="18"/>
      <c r="L81" s="19"/>
    </row>
    <row r="82" spans="1:12">
      <c r="A82" s="17" t="s">
        <v>321</v>
      </c>
      <c r="B82" s="18"/>
      <c r="C82" s="73"/>
      <c r="D82" s="18"/>
      <c r="E82" s="18"/>
      <c r="F82" s="18"/>
      <c r="G82" s="27" t="str">
        <f>IF(D82="","",(VLOOKUP(D82,Lookup!$E$3:$F$22,2,FALSE)*VLOOKUP(E82,Lookup!$G$3:$H$22,2,FALSE)+VLOOKUP(F82,Lookup!$I$3:$J$22,2,FALSE)))</f>
        <v/>
      </c>
      <c r="H82" s="18"/>
      <c r="I82" s="18"/>
      <c r="J82" s="18"/>
      <c r="K82" s="18"/>
      <c r="L82" s="19"/>
    </row>
    <row r="83" spans="1:12">
      <c r="A83" s="26" t="s">
        <v>322</v>
      </c>
      <c r="B83" s="18"/>
      <c r="C83" s="73"/>
      <c r="D83" s="18"/>
      <c r="E83" s="18"/>
      <c r="F83" s="18"/>
      <c r="G83" s="27" t="str">
        <f>IF(D83="","",(VLOOKUP(D83,Lookup!$E$3:$F$22,2,FALSE)*VLOOKUP(E83,Lookup!$G$3:$H$22,2,FALSE)+VLOOKUP(F83,Lookup!$I$3:$J$22,2,FALSE)))</f>
        <v/>
      </c>
      <c r="H83" s="18"/>
      <c r="I83" s="18"/>
      <c r="J83" s="18"/>
      <c r="K83" s="18"/>
      <c r="L83" s="19"/>
    </row>
    <row r="84" spans="1:12">
      <c r="A84" s="17" t="s">
        <v>323</v>
      </c>
      <c r="B84" s="18"/>
      <c r="C84" s="73"/>
      <c r="D84" s="18"/>
      <c r="E84" s="18"/>
      <c r="F84" s="18"/>
      <c r="G84" s="27" t="str">
        <f>IF(D84="","",(VLOOKUP(D84,Lookup!$E$3:$F$22,2,FALSE)*VLOOKUP(E84,Lookup!$G$3:$H$22,2,FALSE)+VLOOKUP(F84,Lookup!$I$3:$J$22,2,FALSE)))</f>
        <v/>
      </c>
      <c r="H84" s="18"/>
      <c r="I84" s="18"/>
      <c r="J84" s="18"/>
      <c r="K84" s="18"/>
      <c r="L84" s="19"/>
    </row>
    <row r="85" spans="1:12">
      <c r="A85" s="26" t="s">
        <v>324</v>
      </c>
      <c r="B85" s="18"/>
      <c r="C85" s="73"/>
      <c r="D85" s="18"/>
      <c r="E85" s="18"/>
      <c r="F85" s="18"/>
      <c r="G85" s="27" t="str">
        <f>IF(D85="","",(VLOOKUP(D85,Lookup!$E$3:$F$22,2,FALSE)*VLOOKUP(E85,Lookup!$G$3:$H$22,2,FALSE)+VLOOKUP(F85,Lookup!$I$3:$J$22,2,FALSE)))</f>
        <v/>
      </c>
      <c r="H85" s="18"/>
      <c r="I85" s="18"/>
      <c r="J85" s="18"/>
      <c r="K85" s="18"/>
      <c r="L85" s="19"/>
    </row>
    <row r="86" spans="1:12">
      <c r="A86" s="17" t="s">
        <v>325</v>
      </c>
      <c r="B86" s="18"/>
      <c r="C86" s="73"/>
      <c r="D86" s="18"/>
      <c r="E86" s="18"/>
      <c r="F86" s="18"/>
      <c r="G86" s="27" t="str">
        <f>IF(D86="","",(VLOOKUP(D86,Lookup!$E$3:$F$22,2,FALSE)*VLOOKUP(E86,Lookup!$G$3:$H$22,2,FALSE)+VLOOKUP(F86,Lookup!$I$3:$J$22,2,FALSE)))</f>
        <v/>
      </c>
      <c r="H86" s="18"/>
      <c r="I86" s="18"/>
      <c r="J86" s="18"/>
      <c r="K86" s="18"/>
      <c r="L86" s="19"/>
    </row>
    <row r="87" spans="1:12">
      <c r="A87" s="26" t="s">
        <v>326</v>
      </c>
      <c r="B87" s="18"/>
      <c r="C87" s="73"/>
      <c r="D87" s="18"/>
      <c r="E87" s="18"/>
      <c r="F87" s="18"/>
      <c r="G87" s="27" t="str">
        <f>IF(D87="","",(VLOOKUP(D87,Lookup!$E$3:$F$22,2,FALSE)*VLOOKUP(E87,Lookup!$G$3:$H$22,2,FALSE)+VLOOKUP(F87,Lookup!$I$3:$J$22,2,FALSE)))</f>
        <v/>
      </c>
      <c r="H87" s="18"/>
      <c r="I87" s="18"/>
      <c r="J87" s="18"/>
      <c r="K87" s="18"/>
      <c r="L87" s="19"/>
    </row>
    <row r="88" spans="1:12">
      <c r="A88" s="17" t="s">
        <v>327</v>
      </c>
      <c r="B88" s="18"/>
      <c r="C88" s="73"/>
      <c r="D88" s="18"/>
      <c r="E88" s="18"/>
      <c r="F88" s="18"/>
      <c r="G88" s="27" t="str">
        <f>IF(D88="","",(VLOOKUP(D88,Lookup!$E$3:$F$22,2,FALSE)*VLOOKUP(E88,Lookup!$G$3:$H$22,2,FALSE)+VLOOKUP(F88,Lookup!$I$3:$J$22,2,FALSE)))</f>
        <v/>
      </c>
      <c r="H88" s="18"/>
      <c r="I88" s="18"/>
      <c r="J88" s="18"/>
      <c r="K88" s="18"/>
      <c r="L88" s="19"/>
    </row>
    <row r="89" spans="1:12">
      <c r="A89" s="26" t="s">
        <v>328</v>
      </c>
      <c r="B89" s="18"/>
      <c r="C89" s="73"/>
      <c r="D89" s="18"/>
      <c r="E89" s="18"/>
      <c r="F89" s="18"/>
      <c r="G89" s="27" t="str">
        <f>IF(D89="","",(VLOOKUP(D89,Lookup!$E$3:$F$22,2,FALSE)*VLOOKUP(E89,Lookup!$G$3:$H$22,2,FALSE)+VLOOKUP(F89,Lookup!$I$3:$J$22,2,FALSE)))</f>
        <v/>
      </c>
      <c r="H89" s="18"/>
      <c r="I89" s="18"/>
      <c r="J89" s="18"/>
      <c r="K89" s="18"/>
      <c r="L89" s="19"/>
    </row>
    <row r="90" spans="1:12">
      <c r="A90" s="17" t="s">
        <v>329</v>
      </c>
      <c r="B90" s="18"/>
      <c r="C90" s="73"/>
      <c r="D90" s="18"/>
      <c r="E90" s="18"/>
      <c r="F90" s="18"/>
      <c r="G90" s="27" t="str">
        <f>IF(D90="","",(VLOOKUP(D90,Lookup!$E$3:$F$22,2,FALSE)*VLOOKUP(E90,Lookup!$G$3:$H$22,2,FALSE)+VLOOKUP(F90,Lookup!$I$3:$J$22,2,FALSE)))</f>
        <v/>
      </c>
      <c r="H90" s="18"/>
      <c r="I90" s="18"/>
      <c r="J90" s="18"/>
      <c r="K90" s="18"/>
      <c r="L90" s="19"/>
    </row>
    <row r="91" spans="1:12">
      <c r="A91" s="26" t="s">
        <v>330</v>
      </c>
      <c r="B91" s="18"/>
      <c r="C91" s="73"/>
      <c r="D91" s="18"/>
      <c r="E91" s="18"/>
      <c r="F91" s="18"/>
      <c r="G91" s="27" t="str">
        <f>IF(D91="","",(VLOOKUP(D91,Lookup!$E$3:$F$22,2,FALSE)*VLOOKUP(E91,Lookup!$G$3:$H$22,2,FALSE)+VLOOKUP(F91,Lookup!$I$3:$J$22,2,FALSE)))</f>
        <v/>
      </c>
      <c r="H91" s="18"/>
      <c r="I91" s="18"/>
      <c r="J91" s="18"/>
      <c r="K91" s="18"/>
      <c r="L91" s="19"/>
    </row>
    <row r="92" spans="1:12">
      <c r="A92" s="17" t="s">
        <v>331</v>
      </c>
      <c r="B92" s="18"/>
      <c r="C92" s="73"/>
      <c r="D92" s="18"/>
      <c r="E92" s="18"/>
      <c r="F92" s="18"/>
      <c r="G92" s="27" t="str">
        <f>IF(D92="","",(VLOOKUP(D92,Lookup!$E$3:$F$22,2,FALSE)*VLOOKUP(E92,Lookup!$G$3:$H$22,2,FALSE)+VLOOKUP(F92,Lookup!$I$3:$J$22,2,FALSE)))</f>
        <v/>
      </c>
      <c r="H92" s="18"/>
      <c r="I92" s="18"/>
      <c r="J92" s="18"/>
      <c r="K92" s="18"/>
      <c r="L92" s="19"/>
    </row>
    <row r="93" spans="1:12">
      <c r="A93" s="26" t="s">
        <v>332</v>
      </c>
      <c r="B93" s="18"/>
      <c r="C93" s="73"/>
      <c r="D93" s="18"/>
      <c r="E93" s="18"/>
      <c r="F93" s="18"/>
      <c r="G93" s="27" t="str">
        <f>IF(D93="","",(VLOOKUP(D93,Lookup!$E$3:$F$22,2,FALSE)*VLOOKUP(E93,Lookup!$G$3:$H$22,2,FALSE)+VLOOKUP(F93,Lookup!$I$3:$J$22,2,FALSE)))</f>
        <v/>
      </c>
      <c r="H93" s="18"/>
      <c r="I93" s="18"/>
      <c r="J93" s="18"/>
      <c r="K93" s="18"/>
      <c r="L93" s="19"/>
    </row>
    <row r="94" spans="1:12">
      <c r="A94" s="17" t="s">
        <v>333</v>
      </c>
      <c r="B94" s="18"/>
      <c r="C94" s="73"/>
      <c r="D94" s="18"/>
      <c r="E94" s="18"/>
      <c r="F94" s="18"/>
      <c r="G94" s="27" t="str">
        <f>IF(D94="","",(VLOOKUP(D94,Lookup!$E$3:$F$22,2,FALSE)*VLOOKUP(E94,Lookup!$G$3:$H$22,2,FALSE)+VLOOKUP(F94,Lookup!$I$3:$J$22,2,FALSE)))</f>
        <v/>
      </c>
      <c r="H94" s="18"/>
      <c r="I94" s="18"/>
      <c r="J94" s="18"/>
      <c r="K94" s="18"/>
      <c r="L94" s="19"/>
    </row>
    <row r="95" spans="1:12">
      <c r="A95" s="26" t="s">
        <v>334</v>
      </c>
      <c r="B95" s="18"/>
      <c r="C95" s="73"/>
      <c r="D95" s="18"/>
      <c r="E95" s="18"/>
      <c r="F95" s="18"/>
      <c r="G95" s="27" t="str">
        <f>IF(D95="","",(VLOOKUP(D95,Lookup!$E$3:$F$22,2,FALSE)*VLOOKUP(E95,Lookup!$G$3:$H$22,2,FALSE)+VLOOKUP(F95,Lookup!$I$3:$J$22,2,FALSE)))</f>
        <v/>
      </c>
      <c r="H95" s="18"/>
      <c r="I95" s="18"/>
      <c r="J95" s="18"/>
      <c r="K95" s="18"/>
      <c r="L95" s="19"/>
    </row>
    <row r="96" spans="1:12">
      <c r="A96" s="17" t="s">
        <v>335</v>
      </c>
      <c r="B96" s="18"/>
      <c r="C96" s="73"/>
      <c r="D96" s="18"/>
      <c r="E96" s="18"/>
      <c r="F96" s="18"/>
      <c r="G96" s="27" t="str">
        <f>IF(D96="","",(VLOOKUP(D96,Lookup!$E$3:$F$22,2,FALSE)*VLOOKUP(E96,Lookup!$G$3:$H$22,2,FALSE)+VLOOKUP(F96,Lookup!$I$3:$J$22,2,FALSE)))</f>
        <v/>
      </c>
      <c r="H96" s="18"/>
      <c r="I96" s="18"/>
      <c r="J96" s="18"/>
      <c r="K96" s="18"/>
      <c r="L96" s="19"/>
    </row>
    <row r="97" spans="1:12">
      <c r="A97" s="26" t="s">
        <v>336</v>
      </c>
      <c r="B97" s="18"/>
      <c r="C97" s="73"/>
      <c r="D97" s="18"/>
      <c r="E97" s="18"/>
      <c r="F97" s="18"/>
      <c r="G97" s="27" t="str">
        <f>IF(D97="","",(VLOOKUP(D97,Lookup!$E$3:$F$22,2,FALSE)*VLOOKUP(E97,Lookup!$G$3:$H$22,2,FALSE)+VLOOKUP(F97,Lookup!$I$3:$J$22,2,FALSE)))</f>
        <v/>
      </c>
      <c r="H97" s="18"/>
      <c r="I97" s="18"/>
      <c r="J97" s="18"/>
      <c r="K97" s="18"/>
      <c r="L97" s="19"/>
    </row>
    <row r="98" spans="1:12">
      <c r="A98" s="17" t="s">
        <v>337</v>
      </c>
      <c r="B98" s="18"/>
      <c r="C98" s="73"/>
      <c r="D98" s="18"/>
      <c r="E98" s="18"/>
      <c r="F98" s="18"/>
      <c r="G98" s="27" t="str">
        <f>IF(D98="","",(VLOOKUP(D98,Lookup!$E$3:$F$22,2,FALSE)*VLOOKUP(E98,Lookup!$G$3:$H$22,2,FALSE)+VLOOKUP(F98,Lookup!$I$3:$J$22,2,FALSE)))</f>
        <v/>
      </c>
      <c r="H98" s="18"/>
      <c r="I98" s="18"/>
      <c r="J98" s="18"/>
      <c r="K98" s="18"/>
      <c r="L98" s="19"/>
    </row>
    <row r="99" spans="1:12">
      <c r="A99" s="26" t="s">
        <v>338</v>
      </c>
      <c r="B99" s="18"/>
      <c r="C99" s="73"/>
      <c r="D99" s="18"/>
      <c r="E99" s="18"/>
      <c r="F99" s="18"/>
      <c r="G99" s="27" t="str">
        <f>IF(D99="","",(VLOOKUP(D99,Lookup!$E$3:$F$22,2,FALSE)*VLOOKUP(E99,Lookup!$G$3:$H$22,2,FALSE)+VLOOKUP(F99,Lookup!$I$3:$J$22,2,FALSE)))</f>
        <v/>
      </c>
      <c r="H99" s="18"/>
      <c r="I99" s="18"/>
      <c r="J99" s="18"/>
      <c r="K99" s="18"/>
      <c r="L99" s="19"/>
    </row>
    <row r="100" spans="1:12">
      <c r="A100" s="17" t="s">
        <v>339</v>
      </c>
      <c r="B100" s="18"/>
      <c r="C100" s="73"/>
      <c r="D100" s="18"/>
      <c r="E100" s="18"/>
      <c r="F100" s="18"/>
      <c r="G100" s="27" t="str">
        <f>IF(D100="","",(VLOOKUP(D100,Lookup!$E$3:$F$22,2,FALSE)*VLOOKUP(E100,Lookup!$G$3:$H$22,2,FALSE)+VLOOKUP(F100,Lookup!$I$3:$J$22,2,FALSE)))</f>
        <v/>
      </c>
      <c r="H100" s="18"/>
      <c r="I100" s="18"/>
      <c r="J100" s="18"/>
      <c r="K100" s="18"/>
      <c r="L100" s="19"/>
    </row>
    <row r="101" spans="1:12">
      <c r="A101" s="26" t="s">
        <v>340</v>
      </c>
      <c r="B101" s="18"/>
      <c r="C101" s="73"/>
      <c r="D101" s="18"/>
      <c r="E101" s="18"/>
      <c r="F101" s="18"/>
      <c r="G101" s="27" t="str">
        <f>IF(D101="","",(VLOOKUP(D101,Lookup!$E$3:$F$22,2,FALSE)*VLOOKUP(E101,Lookup!$G$3:$H$22,2,FALSE)+VLOOKUP(F101,Lookup!$I$3:$J$22,2,FALSE)))</f>
        <v/>
      </c>
      <c r="H101" s="18"/>
      <c r="I101" s="18"/>
      <c r="J101" s="18"/>
      <c r="K101" s="18"/>
      <c r="L101" s="19"/>
    </row>
    <row r="102" spans="1:12">
      <c r="A102" s="17" t="s">
        <v>341</v>
      </c>
      <c r="B102" s="18"/>
      <c r="C102" s="73"/>
      <c r="D102" s="18"/>
      <c r="E102" s="18"/>
      <c r="F102" s="18"/>
      <c r="G102" s="27" t="str">
        <f>IF(D102="","",(VLOOKUP(D102,Lookup!$E$3:$F$22,2,FALSE)*VLOOKUP(E102,Lookup!$G$3:$H$22,2,FALSE)+VLOOKUP(F102,Lookup!$I$3:$J$22,2,FALSE)))</f>
        <v/>
      </c>
      <c r="H102" s="18"/>
      <c r="I102" s="18"/>
      <c r="J102" s="18"/>
      <c r="K102" s="18"/>
      <c r="L102" s="19"/>
    </row>
    <row r="103" spans="1:12">
      <c r="A103" s="26" t="s">
        <v>342</v>
      </c>
      <c r="B103" s="18"/>
      <c r="C103" s="73"/>
      <c r="D103" s="18"/>
      <c r="E103" s="18"/>
      <c r="F103" s="18"/>
      <c r="G103" s="27" t="str">
        <f>IF(D103="","",(VLOOKUP(D103,Lookup!$E$3:$F$22,2,FALSE)*VLOOKUP(E103,Lookup!$G$3:$H$22,2,FALSE)+VLOOKUP(F103,Lookup!$I$3:$J$22,2,FALSE)))</f>
        <v/>
      </c>
      <c r="H103" s="18"/>
      <c r="I103" s="18"/>
      <c r="J103" s="18"/>
      <c r="K103" s="18"/>
      <c r="L103" s="19"/>
    </row>
    <row r="104" spans="1:12">
      <c r="A104" s="17" t="s">
        <v>343</v>
      </c>
      <c r="B104" s="18"/>
      <c r="C104" s="73"/>
      <c r="D104" s="18"/>
      <c r="E104" s="18"/>
      <c r="F104" s="18"/>
      <c r="G104" s="27" t="str">
        <f>IF(D104="","",(VLOOKUP(D104,Lookup!$E$3:$F$22,2,FALSE)*VLOOKUP(E104,Lookup!$G$3:$H$22,2,FALSE)+VLOOKUP(F104,Lookup!$I$3:$J$22,2,FALSE)))</f>
        <v/>
      </c>
      <c r="H104" s="18"/>
      <c r="I104" s="18"/>
      <c r="J104" s="18"/>
      <c r="K104" s="18"/>
      <c r="L104" s="19"/>
    </row>
    <row r="105" spans="1:12">
      <c r="A105" s="26" t="s">
        <v>344</v>
      </c>
      <c r="B105" s="18"/>
      <c r="C105" s="73"/>
      <c r="D105" s="18"/>
      <c r="E105" s="18"/>
      <c r="F105" s="18"/>
      <c r="G105" s="27" t="str">
        <f>IF(D105="","",(VLOOKUP(D105,Lookup!$E$3:$F$22,2,FALSE)*VLOOKUP(E105,Lookup!$G$3:$H$22,2,FALSE)+VLOOKUP(F105,Lookup!$I$3:$J$22,2,FALSE)))</f>
        <v/>
      </c>
      <c r="H105" s="18"/>
      <c r="I105" s="18"/>
      <c r="J105" s="18"/>
      <c r="K105" s="18"/>
      <c r="L105" s="19"/>
    </row>
    <row r="106" spans="1:12">
      <c r="A106" s="17" t="s">
        <v>345</v>
      </c>
      <c r="B106" s="18"/>
      <c r="C106" s="73"/>
      <c r="D106" s="18"/>
      <c r="E106" s="18"/>
      <c r="F106" s="18"/>
      <c r="G106" s="27" t="str">
        <f>IF(D106="","",(VLOOKUP(D106,Lookup!$E$3:$F$22,2,FALSE)*VLOOKUP(E106,Lookup!$G$3:$H$22,2,FALSE)+VLOOKUP(F106,Lookup!$I$3:$J$22,2,FALSE)))</f>
        <v/>
      </c>
      <c r="H106" s="18"/>
      <c r="I106" s="18"/>
      <c r="J106" s="18"/>
      <c r="K106" s="18"/>
      <c r="L106" s="19"/>
    </row>
    <row r="107" spans="1:12">
      <c r="A107" s="26" t="s">
        <v>346</v>
      </c>
      <c r="B107" s="18"/>
      <c r="C107" s="73"/>
      <c r="D107" s="18"/>
      <c r="E107" s="18"/>
      <c r="F107" s="18"/>
      <c r="G107" s="27" t="str">
        <f>IF(D107="","",(VLOOKUP(D107,Lookup!$E$3:$F$22,2,FALSE)*VLOOKUP(E107,Lookup!$G$3:$H$22,2,FALSE)+VLOOKUP(F107,Lookup!$I$3:$J$22,2,FALSE)))</f>
        <v/>
      </c>
      <c r="H107" s="18"/>
      <c r="I107" s="18"/>
      <c r="J107" s="18"/>
      <c r="K107" s="18"/>
      <c r="L107" s="19"/>
    </row>
    <row r="108" spans="1:12">
      <c r="A108" s="17" t="s">
        <v>347</v>
      </c>
      <c r="B108" s="18"/>
      <c r="C108" s="73"/>
      <c r="D108" s="18"/>
      <c r="E108" s="18"/>
      <c r="F108" s="18"/>
      <c r="G108" s="27" t="str">
        <f>IF(D108="","",(VLOOKUP(D108,Lookup!$E$3:$F$22,2,FALSE)*VLOOKUP(E108,Lookup!$G$3:$H$22,2,FALSE)+VLOOKUP(F108,Lookup!$I$3:$J$22,2,FALSE)))</f>
        <v/>
      </c>
      <c r="H108" s="18"/>
      <c r="I108" s="18"/>
      <c r="J108" s="18"/>
      <c r="K108" s="18"/>
      <c r="L108" s="19"/>
    </row>
    <row r="109" spans="1:12">
      <c r="A109" s="26" t="s">
        <v>348</v>
      </c>
      <c r="B109" s="18"/>
      <c r="C109" s="73"/>
      <c r="D109" s="18"/>
      <c r="E109" s="18"/>
      <c r="F109" s="18"/>
      <c r="G109" s="27" t="str">
        <f>IF(D109="","",(VLOOKUP(D109,Lookup!$E$3:$F$22,2,FALSE)*VLOOKUP(E109,Lookup!$G$3:$H$22,2,FALSE)+VLOOKUP(F109,Lookup!$I$3:$J$22,2,FALSE)))</f>
        <v/>
      </c>
      <c r="H109" s="18"/>
      <c r="I109" s="18"/>
      <c r="J109" s="18"/>
      <c r="K109" s="18"/>
      <c r="L109" s="19"/>
    </row>
    <row r="110" spans="1:12">
      <c r="A110" s="17" t="s">
        <v>349</v>
      </c>
      <c r="B110" s="18"/>
      <c r="C110" s="73"/>
      <c r="D110" s="18"/>
      <c r="E110" s="18"/>
      <c r="F110" s="18"/>
      <c r="G110" s="27" t="str">
        <f>IF(D110="","",(VLOOKUP(D110,Lookup!$E$3:$F$22,2,FALSE)*VLOOKUP(E110,Lookup!$G$3:$H$22,2,FALSE)+VLOOKUP(F110,Lookup!$I$3:$J$22,2,FALSE)))</f>
        <v/>
      </c>
      <c r="H110" s="18"/>
      <c r="I110" s="18"/>
      <c r="J110" s="18"/>
      <c r="K110" s="18"/>
      <c r="L110" s="19"/>
    </row>
    <row r="111" spans="1:12">
      <c r="A111" s="26" t="s">
        <v>350</v>
      </c>
      <c r="B111" s="18"/>
      <c r="C111" s="73"/>
      <c r="D111" s="18"/>
      <c r="E111" s="18"/>
      <c r="F111" s="18"/>
      <c r="G111" s="27" t="str">
        <f>IF(D111="","",(VLOOKUP(D111,Lookup!$E$3:$F$22,2,FALSE)*VLOOKUP(E111,Lookup!$G$3:$H$22,2,FALSE)+VLOOKUP(F111,Lookup!$I$3:$J$22,2,FALSE)))</f>
        <v/>
      </c>
      <c r="H111" s="18"/>
      <c r="I111" s="18"/>
      <c r="J111" s="18"/>
      <c r="K111" s="18"/>
      <c r="L111" s="19"/>
    </row>
    <row r="112" spans="1:12">
      <c r="A112" s="17" t="s">
        <v>351</v>
      </c>
      <c r="B112" s="18"/>
      <c r="C112" s="73"/>
      <c r="D112" s="18"/>
      <c r="E112" s="18"/>
      <c r="F112" s="18"/>
      <c r="G112" s="27" t="str">
        <f>IF(D112="","",(VLOOKUP(D112,Lookup!$E$3:$F$22,2,FALSE)*VLOOKUP(E112,Lookup!$G$3:$H$22,2,FALSE)+VLOOKUP(F112,Lookup!$I$3:$J$22,2,FALSE)))</f>
        <v/>
      </c>
      <c r="H112" s="18"/>
      <c r="I112" s="18"/>
      <c r="J112" s="18"/>
      <c r="K112" s="18"/>
      <c r="L112" s="19"/>
    </row>
    <row r="113" spans="1:12">
      <c r="A113" s="26" t="s">
        <v>352</v>
      </c>
      <c r="B113" s="18"/>
      <c r="C113" s="73"/>
      <c r="D113" s="18"/>
      <c r="E113" s="18"/>
      <c r="F113" s="18"/>
      <c r="G113" s="27" t="str">
        <f>IF(D113="","",(VLOOKUP(D113,Lookup!$E$3:$F$22,2,FALSE)*VLOOKUP(E113,Lookup!$G$3:$H$22,2,FALSE)+VLOOKUP(F113,Lookup!$I$3:$J$22,2,FALSE)))</f>
        <v/>
      </c>
      <c r="H113" s="18"/>
      <c r="I113" s="18"/>
      <c r="J113" s="18"/>
      <c r="K113" s="18"/>
      <c r="L113" s="19"/>
    </row>
    <row r="114" spans="1:12">
      <c r="A114" s="17" t="s">
        <v>353</v>
      </c>
      <c r="B114" s="18"/>
      <c r="C114" s="73"/>
      <c r="D114" s="18"/>
      <c r="E114" s="18"/>
      <c r="F114" s="18"/>
      <c r="G114" s="27" t="str">
        <f>IF(D114="","",(VLOOKUP(D114,Lookup!$E$3:$F$22,2,FALSE)*VLOOKUP(E114,Lookup!$G$3:$H$22,2,FALSE)+VLOOKUP(F114,Lookup!$I$3:$J$22,2,FALSE)))</f>
        <v/>
      </c>
      <c r="H114" s="18"/>
      <c r="I114" s="18"/>
      <c r="J114" s="18"/>
      <c r="K114" s="18"/>
      <c r="L114" s="19"/>
    </row>
    <row r="115" spans="1:12">
      <c r="A115" s="26" t="s">
        <v>354</v>
      </c>
      <c r="B115" s="18"/>
      <c r="C115" s="73"/>
      <c r="D115" s="18"/>
      <c r="E115" s="18"/>
      <c r="F115" s="18"/>
      <c r="G115" s="27" t="str">
        <f>IF(D115="","",(VLOOKUP(D115,Lookup!$E$3:$F$22,2,FALSE)*VLOOKUP(E115,Lookup!$G$3:$H$22,2,FALSE)+VLOOKUP(F115,Lookup!$I$3:$J$22,2,FALSE)))</f>
        <v/>
      </c>
      <c r="H115" s="18"/>
      <c r="I115" s="18"/>
      <c r="J115" s="18"/>
      <c r="K115" s="18"/>
      <c r="L115" s="19"/>
    </row>
    <row r="116" spans="1:12">
      <c r="A116" s="17" t="s">
        <v>355</v>
      </c>
      <c r="B116" s="18"/>
      <c r="C116" s="73"/>
      <c r="D116" s="18"/>
      <c r="E116" s="18"/>
      <c r="F116" s="18"/>
      <c r="G116" s="27" t="str">
        <f>IF(D116="","",(VLOOKUP(D116,Lookup!$E$3:$F$22,2,FALSE)*VLOOKUP(E116,Lookup!$G$3:$H$22,2,FALSE)+VLOOKUP(F116,Lookup!$I$3:$J$22,2,FALSE)))</f>
        <v/>
      </c>
      <c r="H116" s="18"/>
      <c r="I116" s="18"/>
      <c r="J116" s="18"/>
      <c r="K116" s="18"/>
      <c r="L116" s="19"/>
    </row>
    <row r="117" spans="1:12">
      <c r="A117" s="26" t="s">
        <v>356</v>
      </c>
      <c r="B117" s="18"/>
      <c r="C117" s="73"/>
      <c r="D117" s="18"/>
      <c r="E117" s="18"/>
      <c r="F117" s="18"/>
      <c r="G117" s="27" t="str">
        <f>IF(D117="","",(VLOOKUP(D117,Lookup!$E$3:$F$22,2,FALSE)*VLOOKUP(E117,Lookup!$G$3:$H$22,2,FALSE)+VLOOKUP(F117,Lookup!$I$3:$J$22,2,FALSE)))</f>
        <v/>
      </c>
      <c r="H117" s="18"/>
      <c r="I117" s="18"/>
      <c r="J117" s="18"/>
      <c r="K117" s="18"/>
      <c r="L117" s="19"/>
    </row>
    <row r="118" spans="1:12">
      <c r="A118" s="17" t="s">
        <v>357</v>
      </c>
      <c r="B118" s="18"/>
      <c r="C118" s="73"/>
      <c r="D118" s="18"/>
      <c r="E118" s="18"/>
      <c r="F118" s="18"/>
      <c r="G118" s="27" t="str">
        <f>IF(D118="","",(VLOOKUP(D118,Lookup!$E$3:$F$22,2,FALSE)*VLOOKUP(E118,Lookup!$G$3:$H$22,2,FALSE)+VLOOKUP(F118,Lookup!$I$3:$J$22,2,FALSE)))</f>
        <v/>
      </c>
      <c r="H118" s="18"/>
      <c r="I118" s="18"/>
      <c r="J118" s="18"/>
      <c r="K118" s="18"/>
      <c r="L118" s="19"/>
    </row>
    <row r="119" spans="1:12">
      <c r="A119" s="26" t="s">
        <v>358</v>
      </c>
      <c r="B119" s="18"/>
      <c r="C119" s="73"/>
      <c r="D119" s="18"/>
      <c r="E119" s="18"/>
      <c r="F119" s="18"/>
      <c r="G119" s="27" t="str">
        <f>IF(D119="","",(VLOOKUP(D119,Lookup!$E$3:$F$22,2,FALSE)*VLOOKUP(E119,Lookup!$G$3:$H$22,2,FALSE)+VLOOKUP(F119,Lookup!$I$3:$J$22,2,FALSE)))</f>
        <v/>
      </c>
      <c r="H119" s="18"/>
      <c r="I119" s="18"/>
      <c r="J119" s="18"/>
      <c r="K119" s="18"/>
      <c r="L119" s="19"/>
    </row>
    <row r="120" spans="1:12">
      <c r="A120" s="17" t="s">
        <v>359</v>
      </c>
      <c r="B120" s="18"/>
      <c r="C120" s="73"/>
      <c r="D120" s="18"/>
      <c r="E120" s="18"/>
      <c r="F120" s="18"/>
      <c r="G120" s="27" t="str">
        <f>IF(D120="","",(VLOOKUP(D120,Lookup!$E$3:$F$22,2,FALSE)*VLOOKUP(E120,Lookup!$G$3:$H$22,2,FALSE)+VLOOKUP(F120,Lookup!$I$3:$J$22,2,FALSE)))</f>
        <v/>
      </c>
      <c r="H120" s="18"/>
      <c r="I120" s="18"/>
      <c r="J120" s="18"/>
      <c r="K120" s="18"/>
      <c r="L120" s="19"/>
    </row>
    <row r="121" spans="1:12">
      <c r="A121" s="26" t="s">
        <v>360</v>
      </c>
      <c r="B121" s="18"/>
      <c r="C121" s="73"/>
      <c r="D121" s="18"/>
      <c r="E121" s="18"/>
      <c r="F121" s="18"/>
      <c r="G121" s="27" t="str">
        <f>IF(D121="","",(VLOOKUP(D121,Lookup!$E$3:$F$22,2,FALSE)*VLOOKUP(E121,Lookup!$G$3:$H$22,2,FALSE)+VLOOKUP(F121,Lookup!$I$3:$J$22,2,FALSE)))</f>
        <v/>
      </c>
      <c r="H121" s="18"/>
      <c r="I121" s="18"/>
      <c r="J121" s="18"/>
      <c r="K121" s="18"/>
      <c r="L121" s="19"/>
    </row>
    <row r="122" spans="1:12">
      <c r="A122" s="17" t="s">
        <v>361</v>
      </c>
      <c r="B122" s="18"/>
      <c r="C122" s="73"/>
      <c r="D122" s="18"/>
      <c r="E122" s="18"/>
      <c r="F122" s="18"/>
      <c r="G122" s="27" t="str">
        <f>IF(D122="","",(VLOOKUP(D122,Lookup!$E$3:$F$22,2,FALSE)*VLOOKUP(E122,Lookup!$G$3:$H$22,2,FALSE)+VLOOKUP(F122,Lookup!$I$3:$J$22,2,FALSE)))</f>
        <v/>
      </c>
      <c r="H122" s="18"/>
      <c r="I122" s="18"/>
      <c r="J122" s="18"/>
      <c r="K122" s="18"/>
      <c r="L122" s="19"/>
    </row>
    <row r="123" spans="1:12">
      <c r="A123" s="26" t="s">
        <v>362</v>
      </c>
      <c r="B123" s="18"/>
      <c r="C123" s="73"/>
      <c r="D123" s="18"/>
      <c r="E123" s="18"/>
      <c r="F123" s="18"/>
      <c r="G123" s="27" t="str">
        <f>IF(D123="","",(VLOOKUP(D123,Lookup!$E$3:$F$22,2,FALSE)*VLOOKUP(E123,Lookup!$G$3:$H$22,2,FALSE)+VLOOKUP(F123,Lookup!$I$3:$J$22,2,FALSE)))</f>
        <v/>
      </c>
      <c r="H123" s="18"/>
      <c r="I123" s="18"/>
      <c r="J123" s="18"/>
      <c r="K123" s="18"/>
      <c r="L123" s="19"/>
    </row>
    <row r="124" spans="1:12">
      <c r="A124" s="17" t="s">
        <v>363</v>
      </c>
      <c r="B124" s="18"/>
      <c r="C124" s="73"/>
      <c r="D124" s="18"/>
      <c r="E124" s="18"/>
      <c r="F124" s="18"/>
      <c r="G124" s="27" t="str">
        <f>IF(D124="","",(VLOOKUP(D124,Lookup!$E$3:$F$22,2,FALSE)*VLOOKUP(E124,Lookup!$G$3:$H$22,2,FALSE)+VLOOKUP(F124,Lookup!$I$3:$J$22,2,FALSE)))</f>
        <v/>
      </c>
      <c r="H124" s="18"/>
      <c r="I124" s="18"/>
      <c r="J124" s="18"/>
      <c r="K124" s="18"/>
      <c r="L124" s="19"/>
    </row>
    <row r="125" spans="1:12">
      <c r="A125" s="26" t="s">
        <v>364</v>
      </c>
      <c r="B125" s="18"/>
      <c r="C125" s="73"/>
      <c r="D125" s="18"/>
      <c r="E125" s="18"/>
      <c r="F125" s="18"/>
      <c r="G125" s="27" t="str">
        <f>IF(D125="","",(VLOOKUP(D125,Lookup!$E$3:$F$22,2,FALSE)*VLOOKUP(E125,Lookup!$G$3:$H$22,2,FALSE)+VLOOKUP(F125,Lookup!$I$3:$J$22,2,FALSE)))</f>
        <v/>
      </c>
      <c r="H125" s="18"/>
      <c r="I125" s="18"/>
      <c r="J125" s="18"/>
      <c r="K125" s="18"/>
      <c r="L125" s="19"/>
    </row>
    <row r="126" spans="1:12">
      <c r="A126" s="17" t="s">
        <v>365</v>
      </c>
      <c r="B126" s="18"/>
      <c r="C126" s="73"/>
      <c r="D126" s="18"/>
      <c r="E126" s="18"/>
      <c r="F126" s="18"/>
      <c r="G126" s="27" t="str">
        <f>IF(D126="","",(VLOOKUP(D126,Lookup!$E$3:$F$22,2,FALSE)*VLOOKUP(E126,Lookup!$G$3:$H$22,2,FALSE)+VLOOKUP(F126,Lookup!$I$3:$J$22,2,FALSE)))</f>
        <v/>
      </c>
      <c r="H126" s="18"/>
      <c r="I126" s="18"/>
      <c r="J126" s="18"/>
      <c r="K126" s="18"/>
      <c r="L126" s="19"/>
    </row>
    <row r="127" spans="1:12">
      <c r="A127" s="26" t="s">
        <v>366</v>
      </c>
      <c r="B127" s="18"/>
      <c r="C127" s="73"/>
      <c r="D127" s="18"/>
      <c r="E127" s="18"/>
      <c r="F127" s="18"/>
      <c r="G127" s="27" t="str">
        <f>IF(D127="","",(VLOOKUP(D127,Lookup!$E$3:$F$22,2,FALSE)*VLOOKUP(E127,Lookup!$G$3:$H$22,2,FALSE)+VLOOKUP(F127,Lookup!$I$3:$J$22,2,FALSE)))</f>
        <v/>
      </c>
      <c r="H127" s="18"/>
      <c r="I127" s="18"/>
      <c r="J127" s="18"/>
      <c r="K127" s="18"/>
      <c r="L127" s="19"/>
    </row>
    <row r="128" spans="1:12">
      <c r="A128" s="17" t="s">
        <v>367</v>
      </c>
      <c r="B128" s="18"/>
      <c r="C128" s="73"/>
      <c r="D128" s="18"/>
      <c r="E128" s="18"/>
      <c r="F128" s="18"/>
      <c r="G128" s="27" t="str">
        <f>IF(D128="","",(VLOOKUP(D128,Lookup!$E$3:$F$22,2,FALSE)*VLOOKUP(E128,Lookup!$G$3:$H$22,2,FALSE)+VLOOKUP(F128,Lookup!$I$3:$J$22,2,FALSE)))</f>
        <v/>
      </c>
      <c r="H128" s="18"/>
      <c r="I128" s="18"/>
      <c r="J128" s="18"/>
      <c r="K128" s="18"/>
      <c r="L128" s="19"/>
    </row>
    <row r="129" spans="1:12">
      <c r="A129" s="26" t="s">
        <v>368</v>
      </c>
      <c r="B129" s="18"/>
      <c r="C129" s="73"/>
      <c r="D129" s="18"/>
      <c r="E129" s="18"/>
      <c r="F129" s="18"/>
      <c r="G129" s="27" t="str">
        <f>IF(D129="","",(VLOOKUP(D129,Lookup!$E$3:$F$22,2,FALSE)*VLOOKUP(E129,Lookup!$G$3:$H$22,2,FALSE)+VLOOKUP(F129,Lookup!$I$3:$J$22,2,FALSE)))</f>
        <v/>
      </c>
      <c r="H129" s="18"/>
      <c r="I129" s="18"/>
      <c r="J129" s="18"/>
      <c r="K129" s="18"/>
      <c r="L129" s="19"/>
    </row>
    <row r="130" spans="1:12">
      <c r="A130" s="17" t="s">
        <v>369</v>
      </c>
      <c r="B130" s="18"/>
      <c r="C130" s="73"/>
      <c r="D130" s="18"/>
      <c r="E130" s="18"/>
      <c r="F130" s="18"/>
      <c r="G130" s="27" t="str">
        <f>IF(D130="","",(VLOOKUP(D130,Lookup!$E$3:$F$22,2,FALSE)*VLOOKUP(E130,Lookup!$G$3:$H$22,2,FALSE)+VLOOKUP(F130,Lookup!$I$3:$J$22,2,FALSE)))</f>
        <v/>
      </c>
      <c r="H130" s="18"/>
      <c r="I130" s="18"/>
      <c r="J130" s="18"/>
      <c r="K130" s="18"/>
      <c r="L130" s="19"/>
    </row>
    <row r="131" spans="1:12">
      <c r="A131" s="26" t="s">
        <v>370</v>
      </c>
      <c r="B131" s="18"/>
      <c r="C131" s="73"/>
      <c r="D131" s="18"/>
      <c r="E131" s="18"/>
      <c r="F131" s="18"/>
      <c r="G131" s="27" t="str">
        <f>IF(D131="","",(VLOOKUP(D131,Lookup!$E$3:$F$22,2,FALSE)*VLOOKUP(E131,Lookup!$G$3:$H$22,2,FALSE)+VLOOKUP(F131,Lookup!$I$3:$J$22,2,FALSE)))</f>
        <v/>
      </c>
      <c r="H131" s="18"/>
      <c r="I131" s="18"/>
      <c r="J131" s="18"/>
      <c r="K131" s="18"/>
      <c r="L131" s="19"/>
    </row>
    <row r="132" spans="1:12">
      <c r="A132" s="17" t="s">
        <v>371</v>
      </c>
      <c r="B132" s="18"/>
      <c r="C132" s="73"/>
      <c r="D132" s="18"/>
      <c r="E132" s="18"/>
      <c r="F132" s="18"/>
      <c r="G132" s="27" t="str">
        <f>IF(D132="","",(VLOOKUP(D132,Lookup!$E$3:$F$22,2,FALSE)*VLOOKUP(E132,Lookup!$G$3:$H$22,2,FALSE)+VLOOKUP(F132,Lookup!$I$3:$J$22,2,FALSE)))</f>
        <v/>
      </c>
      <c r="H132" s="18"/>
      <c r="I132" s="18"/>
      <c r="J132" s="18"/>
      <c r="K132" s="18"/>
      <c r="L132" s="19"/>
    </row>
    <row r="133" spans="1:12">
      <c r="A133" s="26" t="s">
        <v>372</v>
      </c>
      <c r="B133" s="18"/>
      <c r="C133" s="73"/>
      <c r="D133" s="18"/>
      <c r="E133" s="18"/>
      <c r="F133" s="18"/>
      <c r="G133" s="27" t="str">
        <f>IF(D133="","",(VLOOKUP(D133,Lookup!$E$3:$F$22,2,FALSE)*VLOOKUP(E133,Lookup!$G$3:$H$22,2,FALSE)+VLOOKUP(F133,Lookup!$I$3:$J$22,2,FALSE)))</f>
        <v/>
      </c>
      <c r="H133" s="18"/>
      <c r="I133" s="18"/>
      <c r="J133" s="18"/>
      <c r="K133" s="18"/>
      <c r="L133" s="19"/>
    </row>
    <row r="134" spans="1:12">
      <c r="A134" s="17" t="s">
        <v>373</v>
      </c>
      <c r="B134" s="18"/>
      <c r="C134" s="73"/>
      <c r="D134" s="18"/>
      <c r="E134" s="18"/>
      <c r="F134" s="18"/>
      <c r="G134" s="27" t="str">
        <f>IF(D134="","",(VLOOKUP(D134,Lookup!$E$3:$F$22,2,FALSE)*VLOOKUP(E134,Lookup!$G$3:$H$22,2,FALSE)+VLOOKUP(F134,Lookup!$I$3:$J$22,2,FALSE)))</f>
        <v/>
      </c>
      <c r="H134" s="18"/>
      <c r="I134" s="18"/>
      <c r="J134" s="18"/>
      <c r="K134" s="18"/>
      <c r="L134" s="19"/>
    </row>
    <row r="135" spans="1:12">
      <c r="A135" s="26" t="s">
        <v>374</v>
      </c>
      <c r="B135" s="18"/>
      <c r="C135" s="73"/>
      <c r="D135" s="18"/>
      <c r="E135" s="18"/>
      <c r="F135" s="18"/>
      <c r="G135" s="27" t="str">
        <f>IF(D135="","",(VLOOKUP(D135,Lookup!$E$3:$F$22,2,FALSE)*VLOOKUP(E135,Lookup!$G$3:$H$22,2,FALSE)+VLOOKUP(F135,Lookup!$I$3:$J$22,2,FALSE)))</f>
        <v/>
      </c>
      <c r="H135" s="18"/>
      <c r="I135" s="18"/>
      <c r="J135" s="18"/>
      <c r="K135" s="18"/>
      <c r="L135" s="19"/>
    </row>
    <row r="136" spans="1:12">
      <c r="A136" s="17" t="s">
        <v>375</v>
      </c>
      <c r="B136" s="18"/>
      <c r="C136" s="73"/>
      <c r="D136" s="18"/>
      <c r="E136" s="18"/>
      <c r="F136" s="18"/>
      <c r="G136" s="27" t="str">
        <f>IF(D136="","",(VLOOKUP(D136,Lookup!$E$3:$F$22,2,FALSE)*VLOOKUP(E136,Lookup!$G$3:$H$22,2,FALSE)+VLOOKUP(F136,Lookup!$I$3:$J$22,2,FALSE)))</f>
        <v/>
      </c>
      <c r="H136" s="18"/>
      <c r="I136" s="18"/>
      <c r="J136" s="18"/>
      <c r="K136" s="18"/>
      <c r="L136" s="19"/>
    </row>
    <row r="137" spans="1:12">
      <c r="A137" s="26" t="s">
        <v>376</v>
      </c>
      <c r="B137" s="18"/>
      <c r="C137" s="73"/>
      <c r="D137" s="18"/>
      <c r="E137" s="18"/>
      <c r="F137" s="18"/>
      <c r="G137" s="27" t="str">
        <f>IF(D137="","",(VLOOKUP(D137,Lookup!$E$3:$F$22,2,FALSE)*VLOOKUP(E137,Lookup!$G$3:$H$22,2,FALSE)+VLOOKUP(F137,Lookup!$I$3:$J$22,2,FALSE)))</f>
        <v/>
      </c>
      <c r="H137" s="18"/>
      <c r="I137" s="18"/>
      <c r="J137" s="18"/>
      <c r="K137" s="18"/>
      <c r="L137" s="19"/>
    </row>
    <row r="138" spans="1:12">
      <c r="A138" s="17" t="s">
        <v>377</v>
      </c>
      <c r="B138" s="18"/>
      <c r="C138" s="73"/>
      <c r="D138" s="18"/>
      <c r="E138" s="18"/>
      <c r="F138" s="18"/>
      <c r="G138" s="27" t="str">
        <f>IF(D138="","",(VLOOKUP(D138,Lookup!$E$3:$F$22,2,FALSE)*VLOOKUP(E138,Lookup!$G$3:$H$22,2,FALSE)+VLOOKUP(F138,Lookup!$I$3:$J$22,2,FALSE)))</f>
        <v/>
      </c>
      <c r="H138" s="18"/>
      <c r="I138" s="18"/>
      <c r="J138" s="18"/>
      <c r="K138" s="18"/>
      <c r="L138" s="19"/>
    </row>
    <row r="139" spans="1:12">
      <c r="A139" s="26" t="s">
        <v>378</v>
      </c>
      <c r="B139" s="18"/>
      <c r="C139" s="73"/>
      <c r="D139" s="18"/>
      <c r="E139" s="18"/>
      <c r="F139" s="18"/>
      <c r="G139" s="27" t="str">
        <f>IF(D139="","",(VLOOKUP(D139,Lookup!$E$3:$F$22,2,FALSE)*VLOOKUP(E139,Lookup!$G$3:$H$22,2,FALSE)+VLOOKUP(F139,Lookup!$I$3:$J$22,2,FALSE)))</f>
        <v/>
      </c>
      <c r="H139" s="18"/>
      <c r="I139" s="18"/>
      <c r="J139" s="18"/>
      <c r="K139" s="18"/>
      <c r="L139" s="19"/>
    </row>
    <row r="140" spans="1:12">
      <c r="A140" s="17" t="s">
        <v>379</v>
      </c>
      <c r="B140" s="18"/>
      <c r="C140" s="73"/>
      <c r="D140" s="18"/>
      <c r="E140" s="18"/>
      <c r="F140" s="18"/>
      <c r="G140" s="27" t="str">
        <f>IF(D140="","",(VLOOKUP(D140,Lookup!$E$3:$F$22,2,FALSE)*VLOOKUP(E140,Lookup!$G$3:$H$22,2,FALSE)+VLOOKUP(F140,Lookup!$I$3:$J$22,2,FALSE)))</f>
        <v/>
      </c>
      <c r="H140" s="18"/>
      <c r="I140" s="18"/>
      <c r="J140" s="18"/>
      <c r="K140" s="18"/>
      <c r="L140" s="19"/>
    </row>
    <row r="141" spans="1:12">
      <c r="A141" s="26" t="s">
        <v>380</v>
      </c>
      <c r="B141" s="18"/>
      <c r="C141" s="73"/>
      <c r="D141" s="18"/>
      <c r="E141" s="18"/>
      <c r="F141" s="18"/>
      <c r="G141" s="27" t="str">
        <f>IF(D141="","",(VLOOKUP(D141,Lookup!$E$3:$F$22,2,FALSE)*VLOOKUP(E141,Lookup!$G$3:$H$22,2,FALSE)+VLOOKUP(F141,Lookup!$I$3:$J$22,2,FALSE)))</f>
        <v/>
      </c>
      <c r="H141" s="18"/>
      <c r="I141" s="18"/>
      <c r="J141" s="18"/>
      <c r="K141" s="18"/>
      <c r="L141" s="19"/>
    </row>
    <row r="142" spans="1:12">
      <c r="A142" s="17" t="s">
        <v>381</v>
      </c>
      <c r="B142" s="18"/>
      <c r="C142" s="73"/>
      <c r="D142" s="18"/>
      <c r="E142" s="18"/>
      <c r="F142" s="18"/>
      <c r="G142" s="27" t="str">
        <f>IF(D142="","",(VLOOKUP(D142,Lookup!$E$3:$F$22,2,FALSE)*VLOOKUP(E142,Lookup!$G$3:$H$22,2,FALSE)+VLOOKUP(F142,Lookup!$I$3:$J$22,2,FALSE)))</f>
        <v/>
      </c>
      <c r="H142" s="18"/>
      <c r="I142" s="18"/>
      <c r="J142" s="18"/>
      <c r="K142" s="18"/>
      <c r="L142" s="19"/>
    </row>
    <row r="143" spans="1:12">
      <c r="A143" s="26" t="s">
        <v>382</v>
      </c>
      <c r="B143" s="18"/>
      <c r="C143" s="73"/>
      <c r="D143" s="18"/>
      <c r="E143" s="18"/>
      <c r="F143" s="18"/>
      <c r="G143" s="27" t="str">
        <f>IF(D143="","",(VLOOKUP(D143,Lookup!$E$3:$F$22,2,FALSE)*VLOOKUP(E143,Lookup!$G$3:$H$22,2,FALSE)+VLOOKUP(F143,Lookup!$I$3:$J$22,2,FALSE)))</f>
        <v/>
      </c>
      <c r="H143" s="18"/>
      <c r="I143" s="18"/>
      <c r="J143" s="18"/>
      <c r="K143" s="18"/>
      <c r="L143" s="19"/>
    </row>
    <row r="144" spans="1:12">
      <c r="A144" s="17" t="s">
        <v>383</v>
      </c>
      <c r="B144" s="18"/>
      <c r="C144" s="73"/>
      <c r="D144" s="18"/>
      <c r="E144" s="18"/>
      <c r="F144" s="18"/>
      <c r="G144" s="27" t="str">
        <f>IF(D144="","",(VLOOKUP(D144,Lookup!$E$3:$F$22,2,FALSE)*VLOOKUP(E144,Lookup!$G$3:$H$22,2,FALSE)+VLOOKUP(F144,Lookup!$I$3:$J$22,2,FALSE)))</f>
        <v/>
      </c>
      <c r="H144" s="18"/>
      <c r="I144" s="18"/>
      <c r="J144" s="18"/>
      <c r="K144" s="18"/>
      <c r="L144" s="19"/>
    </row>
    <row r="145" spans="1:12">
      <c r="A145" s="26" t="s">
        <v>384</v>
      </c>
      <c r="B145" s="18"/>
      <c r="C145" s="73"/>
      <c r="D145" s="18"/>
      <c r="E145" s="18"/>
      <c r="F145" s="18"/>
      <c r="G145" s="27" t="str">
        <f>IF(D145="","",(VLOOKUP(D145,Lookup!$E$3:$F$22,2,FALSE)*VLOOKUP(E145,Lookup!$G$3:$H$22,2,FALSE)+VLOOKUP(F145,Lookup!$I$3:$J$22,2,FALSE)))</f>
        <v/>
      </c>
      <c r="H145" s="18"/>
      <c r="I145" s="18"/>
      <c r="J145" s="18"/>
      <c r="K145" s="18"/>
      <c r="L145" s="19"/>
    </row>
    <row r="146" spans="1:12">
      <c r="A146" s="17" t="s">
        <v>385</v>
      </c>
      <c r="B146" s="18"/>
      <c r="C146" s="73"/>
      <c r="D146" s="18"/>
      <c r="E146" s="18"/>
      <c r="F146" s="18"/>
      <c r="G146" s="27" t="str">
        <f>IF(D146="","",(VLOOKUP(D146,Lookup!$E$3:$F$22,2,FALSE)*VLOOKUP(E146,Lookup!$G$3:$H$22,2,FALSE)+VLOOKUP(F146,Lookup!$I$3:$J$22,2,FALSE)))</f>
        <v/>
      </c>
      <c r="H146" s="18"/>
      <c r="I146" s="18"/>
      <c r="J146" s="18"/>
      <c r="K146" s="18"/>
      <c r="L146" s="19"/>
    </row>
    <row r="147" spans="1:12">
      <c r="A147" s="26" t="s">
        <v>386</v>
      </c>
      <c r="B147" s="18"/>
      <c r="C147" s="73"/>
      <c r="D147" s="18"/>
      <c r="E147" s="18"/>
      <c r="F147" s="18"/>
      <c r="G147" s="27" t="str">
        <f>IF(D147="","",(VLOOKUP(D147,Lookup!$E$3:$F$22,2,FALSE)*VLOOKUP(E147,Lookup!$G$3:$H$22,2,FALSE)+VLOOKUP(F147,Lookup!$I$3:$J$22,2,FALSE)))</f>
        <v/>
      </c>
      <c r="H147" s="18"/>
      <c r="I147" s="18"/>
      <c r="J147" s="18"/>
      <c r="K147" s="18"/>
      <c r="L147" s="19"/>
    </row>
    <row r="148" spans="1:12">
      <c r="A148" s="17" t="s">
        <v>387</v>
      </c>
      <c r="B148" s="18"/>
      <c r="C148" s="73"/>
      <c r="D148" s="18"/>
      <c r="E148" s="18"/>
      <c r="F148" s="18"/>
      <c r="G148" s="27" t="str">
        <f>IF(D148="","",(VLOOKUP(D148,Lookup!$E$3:$F$22,2,FALSE)*VLOOKUP(E148,Lookup!$G$3:$H$22,2,FALSE)+VLOOKUP(F148,Lookup!$I$3:$J$22,2,FALSE)))</f>
        <v/>
      </c>
      <c r="H148" s="18"/>
      <c r="I148" s="18"/>
      <c r="J148" s="18"/>
      <c r="K148" s="18"/>
      <c r="L148" s="19"/>
    </row>
    <row r="149" spans="1:12">
      <c r="A149" s="26" t="s">
        <v>388</v>
      </c>
      <c r="B149" s="18"/>
      <c r="C149" s="73"/>
      <c r="D149" s="18"/>
      <c r="E149" s="18"/>
      <c r="F149" s="18"/>
      <c r="G149" s="27" t="str">
        <f>IF(D149="","",(VLOOKUP(D149,Lookup!$E$3:$F$22,2,FALSE)*VLOOKUP(E149,Lookup!$G$3:$H$22,2,FALSE)+VLOOKUP(F149,Lookup!$I$3:$J$22,2,FALSE)))</f>
        <v/>
      </c>
      <c r="H149" s="18"/>
      <c r="I149" s="18"/>
      <c r="J149" s="18"/>
      <c r="K149" s="18"/>
      <c r="L149" s="19"/>
    </row>
    <row r="150" spans="1:12">
      <c r="A150" s="17" t="s">
        <v>389</v>
      </c>
      <c r="B150" s="18"/>
      <c r="C150" s="73"/>
      <c r="D150" s="18"/>
      <c r="E150" s="18"/>
      <c r="F150" s="18"/>
      <c r="G150" s="27" t="str">
        <f>IF(D150="","",(VLOOKUP(D150,Lookup!$E$3:$F$22,2,FALSE)*VLOOKUP(E150,Lookup!$G$3:$H$22,2,FALSE)+VLOOKUP(F150,Lookup!$I$3:$J$22,2,FALSE)))</f>
        <v/>
      </c>
      <c r="H150" s="18"/>
      <c r="I150" s="18"/>
      <c r="J150" s="18"/>
      <c r="K150" s="18"/>
      <c r="L150" s="19"/>
    </row>
    <row r="151" spans="1:12">
      <c r="A151" s="26" t="s">
        <v>390</v>
      </c>
      <c r="B151" s="18"/>
      <c r="C151" s="73"/>
      <c r="D151" s="18"/>
      <c r="E151" s="18"/>
      <c r="F151" s="18"/>
      <c r="G151" s="27" t="str">
        <f>IF(D151="","",(VLOOKUP(D151,Lookup!$E$3:$F$22,2,FALSE)*VLOOKUP(E151,Lookup!$G$3:$H$22,2,FALSE)+VLOOKUP(F151,Lookup!$I$3:$J$22,2,FALSE)))</f>
        <v/>
      </c>
      <c r="H151" s="18"/>
      <c r="I151" s="18"/>
      <c r="J151" s="18"/>
      <c r="K151" s="18"/>
      <c r="L151" s="19"/>
    </row>
    <row r="152" spans="1:12">
      <c r="A152" s="17" t="s">
        <v>391</v>
      </c>
      <c r="B152" s="18"/>
      <c r="C152" s="73"/>
      <c r="D152" s="18"/>
      <c r="E152" s="18"/>
      <c r="F152" s="18"/>
      <c r="G152" s="27" t="str">
        <f>IF(D152="","",(VLOOKUP(D152,Lookup!$E$3:$F$22,2,FALSE)*VLOOKUP(E152,Lookup!$G$3:$H$22,2,FALSE)+VLOOKUP(F152,Lookup!$I$3:$J$22,2,FALSE)))</f>
        <v/>
      </c>
      <c r="H152" s="18"/>
      <c r="I152" s="18"/>
      <c r="J152" s="18"/>
      <c r="K152" s="18"/>
      <c r="L152" s="19"/>
    </row>
    <row r="153" spans="1:12">
      <c r="A153" s="26" t="s">
        <v>392</v>
      </c>
      <c r="B153" s="18"/>
      <c r="C153" s="73"/>
      <c r="D153" s="18"/>
      <c r="E153" s="18"/>
      <c r="F153" s="18"/>
      <c r="G153" s="27" t="str">
        <f>IF(D153="","",(VLOOKUP(D153,Lookup!$E$3:$F$22,2,FALSE)*VLOOKUP(E153,Lookup!$G$3:$H$22,2,FALSE)+VLOOKUP(F153,Lookup!$I$3:$J$22,2,FALSE)))</f>
        <v/>
      </c>
      <c r="H153" s="18"/>
      <c r="I153" s="18"/>
      <c r="J153" s="18"/>
      <c r="K153" s="18"/>
      <c r="L153" s="19"/>
    </row>
    <row r="154" spans="1:12">
      <c r="A154" s="17" t="s">
        <v>393</v>
      </c>
      <c r="B154" s="18"/>
      <c r="C154" s="73"/>
      <c r="D154" s="18"/>
      <c r="E154" s="18"/>
      <c r="F154" s="18"/>
      <c r="G154" s="27" t="str">
        <f>IF(D154="","",(VLOOKUP(D154,Lookup!$E$3:$F$22,2,FALSE)*VLOOKUP(E154,Lookup!$G$3:$H$22,2,FALSE)+VLOOKUP(F154,Lookup!$I$3:$J$22,2,FALSE)))</f>
        <v/>
      </c>
      <c r="H154" s="18"/>
      <c r="I154" s="18"/>
      <c r="J154" s="18"/>
      <c r="K154" s="18"/>
      <c r="L154" s="19"/>
    </row>
    <row r="155" spans="1:12">
      <c r="A155" s="26" t="s">
        <v>394</v>
      </c>
      <c r="B155" s="18"/>
      <c r="C155" s="73"/>
      <c r="D155" s="18"/>
      <c r="E155" s="18"/>
      <c r="F155" s="18"/>
      <c r="G155" s="27" t="str">
        <f>IF(D155="","",(VLOOKUP(D155,Lookup!$E$3:$F$22,2,FALSE)*VLOOKUP(E155,Lookup!$G$3:$H$22,2,FALSE)+VLOOKUP(F155,Lookup!$I$3:$J$22,2,FALSE)))</f>
        <v/>
      </c>
      <c r="H155" s="18"/>
      <c r="I155" s="18"/>
      <c r="J155" s="18"/>
      <c r="K155" s="18"/>
      <c r="L155" s="19"/>
    </row>
    <row r="156" spans="1:12">
      <c r="A156" s="17" t="s">
        <v>395</v>
      </c>
      <c r="B156" s="18"/>
      <c r="C156" s="73"/>
      <c r="D156" s="18"/>
      <c r="E156" s="18"/>
      <c r="F156" s="18"/>
      <c r="G156" s="27" t="str">
        <f>IF(D156="","",(VLOOKUP(D156,Lookup!$E$3:$F$22,2,FALSE)*VLOOKUP(E156,Lookup!$G$3:$H$22,2,FALSE)+VLOOKUP(F156,Lookup!$I$3:$J$22,2,FALSE)))</f>
        <v/>
      </c>
      <c r="H156" s="18"/>
      <c r="I156" s="18"/>
      <c r="J156" s="18"/>
      <c r="K156" s="18"/>
      <c r="L156" s="19"/>
    </row>
    <row r="157" spans="1:12">
      <c r="A157" s="26" t="s">
        <v>396</v>
      </c>
      <c r="B157" s="18"/>
      <c r="C157" s="73"/>
      <c r="D157" s="18"/>
      <c r="E157" s="18"/>
      <c r="F157" s="18"/>
      <c r="G157" s="27" t="str">
        <f>IF(D157="","",(VLOOKUP(D157,Lookup!$E$3:$F$22,2,FALSE)*VLOOKUP(E157,Lookup!$G$3:$H$22,2,FALSE)+VLOOKUP(F157,Lookup!$I$3:$J$22,2,FALSE)))</f>
        <v/>
      </c>
      <c r="H157" s="18"/>
      <c r="I157" s="18"/>
      <c r="J157" s="18"/>
      <c r="K157" s="18"/>
      <c r="L157" s="19"/>
    </row>
    <row r="158" spans="1:12">
      <c r="A158" s="17" t="s">
        <v>397</v>
      </c>
      <c r="B158" s="18"/>
      <c r="C158" s="73"/>
      <c r="D158" s="18"/>
      <c r="E158" s="18"/>
      <c r="F158" s="18"/>
      <c r="G158" s="27" t="str">
        <f>IF(D158="","",(VLOOKUP(D158,Lookup!$E$3:$F$22,2,FALSE)*VLOOKUP(E158,Lookup!$G$3:$H$22,2,FALSE)+VLOOKUP(F158,Lookup!$I$3:$J$22,2,FALSE)))</f>
        <v/>
      </c>
      <c r="H158" s="18"/>
      <c r="I158" s="18"/>
      <c r="J158" s="18"/>
      <c r="K158" s="18"/>
      <c r="L158" s="19"/>
    </row>
    <row r="159" spans="1:12">
      <c r="A159" s="26" t="s">
        <v>398</v>
      </c>
      <c r="B159" s="18"/>
      <c r="C159" s="73"/>
      <c r="D159" s="18"/>
      <c r="E159" s="18"/>
      <c r="F159" s="18"/>
      <c r="G159" s="27" t="str">
        <f>IF(D159="","",(VLOOKUP(D159,Lookup!$E$3:$F$22,2,FALSE)*VLOOKUP(E159,Lookup!$G$3:$H$22,2,FALSE)+VLOOKUP(F159,Lookup!$I$3:$J$22,2,FALSE)))</f>
        <v/>
      </c>
      <c r="H159" s="18"/>
      <c r="I159" s="18"/>
      <c r="J159" s="18"/>
      <c r="K159" s="18"/>
      <c r="L159" s="19"/>
    </row>
    <row r="160" spans="1:12">
      <c r="A160" s="17" t="s">
        <v>399</v>
      </c>
      <c r="B160" s="18"/>
      <c r="C160" s="73"/>
      <c r="D160" s="18"/>
      <c r="E160" s="18"/>
      <c r="F160" s="18"/>
      <c r="G160" s="27" t="str">
        <f>IF(D160="","",(VLOOKUP(D160,Lookup!$E$3:$F$22,2,FALSE)*VLOOKUP(E160,Lookup!$G$3:$H$22,2,FALSE)+VLOOKUP(F160,Lookup!$I$3:$J$22,2,FALSE)))</f>
        <v/>
      </c>
      <c r="H160" s="18"/>
      <c r="I160" s="18"/>
      <c r="J160" s="18"/>
      <c r="K160" s="18"/>
      <c r="L160" s="19"/>
    </row>
    <row r="161" spans="1:12">
      <c r="A161" s="26" t="s">
        <v>400</v>
      </c>
      <c r="B161" s="18"/>
      <c r="C161" s="73"/>
      <c r="D161" s="18"/>
      <c r="E161" s="18"/>
      <c r="F161" s="18"/>
      <c r="G161" s="27" t="str">
        <f>IF(D161="","",(VLOOKUP(D161,Lookup!$E$3:$F$22,2,FALSE)*VLOOKUP(E161,Lookup!$G$3:$H$22,2,FALSE)+VLOOKUP(F161,Lookup!$I$3:$J$22,2,FALSE)))</f>
        <v/>
      </c>
      <c r="H161" s="18"/>
      <c r="I161" s="18"/>
      <c r="J161" s="18"/>
      <c r="K161" s="18"/>
      <c r="L161" s="19"/>
    </row>
    <row r="162" spans="1:12">
      <c r="A162" s="17" t="s">
        <v>401</v>
      </c>
      <c r="B162" s="18"/>
      <c r="C162" s="73"/>
      <c r="D162" s="18"/>
      <c r="E162" s="18"/>
      <c r="F162" s="18"/>
      <c r="G162" s="27" t="str">
        <f>IF(D162="","",(VLOOKUP(D162,Lookup!$E$3:$F$22,2,FALSE)*VLOOKUP(E162,Lookup!$G$3:$H$22,2,FALSE)+VLOOKUP(F162,Lookup!$I$3:$J$22,2,FALSE)))</f>
        <v/>
      </c>
      <c r="H162" s="18"/>
      <c r="I162" s="18"/>
      <c r="J162" s="18"/>
      <c r="K162" s="18"/>
      <c r="L162" s="19"/>
    </row>
    <row r="163" spans="1:12">
      <c r="A163" s="26" t="s">
        <v>402</v>
      </c>
      <c r="B163" s="18"/>
      <c r="C163" s="73"/>
      <c r="D163" s="18"/>
      <c r="E163" s="18"/>
      <c r="F163" s="18"/>
      <c r="G163" s="27" t="str">
        <f>IF(D163="","",(VLOOKUP(D163,Lookup!$E$3:$F$22,2,FALSE)*VLOOKUP(E163,Lookup!$G$3:$H$22,2,FALSE)+VLOOKUP(F163,Lookup!$I$3:$J$22,2,FALSE)))</f>
        <v/>
      </c>
      <c r="H163" s="18"/>
      <c r="I163" s="18"/>
      <c r="J163" s="18"/>
      <c r="K163" s="18"/>
      <c r="L163" s="19"/>
    </row>
    <row r="164" spans="1:12">
      <c r="A164" s="17" t="s">
        <v>403</v>
      </c>
      <c r="B164" s="18"/>
      <c r="C164" s="73"/>
      <c r="D164" s="18"/>
      <c r="E164" s="18"/>
      <c r="F164" s="18"/>
      <c r="G164" s="27" t="str">
        <f>IF(D164="","",(VLOOKUP(D164,Lookup!$E$3:$F$22,2,FALSE)*VLOOKUP(E164,Lookup!$G$3:$H$22,2,FALSE)+VLOOKUP(F164,Lookup!$I$3:$J$22,2,FALSE)))</f>
        <v/>
      </c>
      <c r="H164" s="18"/>
      <c r="I164" s="18"/>
      <c r="J164" s="18"/>
      <c r="K164" s="18"/>
      <c r="L164" s="19"/>
    </row>
    <row r="165" spans="1:12">
      <c r="A165" s="26" t="s">
        <v>404</v>
      </c>
      <c r="B165" s="18"/>
      <c r="C165" s="73"/>
      <c r="D165" s="18"/>
      <c r="E165" s="18"/>
      <c r="F165" s="18"/>
      <c r="G165" s="27" t="str">
        <f>IF(D165="","",(VLOOKUP(D165,Lookup!$E$3:$F$22,2,FALSE)*VLOOKUP(E165,Lookup!$G$3:$H$22,2,FALSE)+VLOOKUP(F165,Lookup!$I$3:$J$22,2,FALSE)))</f>
        <v/>
      </c>
      <c r="H165" s="18"/>
      <c r="I165" s="18"/>
      <c r="J165" s="18"/>
      <c r="K165" s="18"/>
      <c r="L165" s="19"/>
    </row>
    <row r="166" spans="1:12">
      <c r="A166" s="17" t="s">
        <v>405</v>
      </c>
      <c r="B166" s="18"/>
      <c r="C166" s="73"/>
      <c r="D166" s="18"/>
      <c r="E166" s="18"/>
      <c r="F166" s="18"/>
      <c r="G166" s="27" t="str">
        <f>IF(D166="","",(VLOOKUP(D166,Lookup!$E$3:$F$22,2,FALSE)*VLOOKUP(E166,Lookup!$G$3:$H$22,2,FALSE)+VLOOKUP(F166,Lookup!$I$3:$J$22,2,FALSE)))</f>
        <v/>
      </c>
      <c r="H166" s="18"/>
      <c r="I166" s="18"/>
      <c r="J166" s="18"/>
      <c r="K166" s="18"/>
      <c r="L166" s="19"/>
    </row>
    <row r="167" spans="1:12">
      <c r="A167" s="26" t="s">
        <v>406</v>
      </c>
      <c r="B167" s="18"/>
      <c r="C167" s="73"/>
      <c r="D167" s="18"/>
      <c r="E167" s="18"/>
      <c r="F167" s="18"/>
      <c r="G167" s="27" t="str">
        <f>IF(D167="","",(VLOOKUP(D167,Lookup!$E$3:$F$22,2,FALSE)*VLOOKUP(E167,Lookup!$G$3:$H$22,2,FALSE)+VLOOKUP(F167,Lookup!$I$3:$J$22,2,FALSE)))</f>
        <v/>
      </c>
      <c r="H167" s="18"/>
      <c r="I167" s="18"/>
      <c r="J167" s="18"/>
      <c r="K167" s="18"/>
      <c r="L167" s="19"/>
    </row>
    <row r="168" spans="1:12">
      <c r="A168" s="17" t="s">
        <v>407</v>
      </c>
      <c r="B168" s="18"/>
      <c r="C168" s="73"/>
      <c r="D168" s="18"/>
      <c r="E168" s="18"/>
      <c r="F168" s="18"/>
      <c r="G168" s="27" t="str">
        <f>IF(D168="","",(VLOOKUP(D168,Lookup!$E$3:$F$22,2,FALSE)*VLOOKUP(E168,Lookup!$G$3:$H$22,2,FALSE)+VLOOKUP(F168,Lookup!$I$3:$J$22,2,FALSE)))</f>
        <v/>
      </c>
      <c r="H168" s="18"/>
      <c r="I168" s="18"/>
      <c r="J168" s="18"/>
      <c r="K168" s="18"/>
      <c r="L168" s="19"/>
    </row>
    <row r="169" spans="1:12">
      <c r="A169" s="26" t="s">
        <v>408</v>
      </c>
      <c r="B169" s="18"/>
      <c r="C169" s="73"/>
      <c r="D169" s="18"/>
      <c r="E169" s="18"/>
      <c r="F169" s="18"/>
      <c r="G169" s="27" t="str">
        <f>IF(D169="","",(VLOOKUP(D169,Lookup!$E$3:$F$22,2,FALSE)*VLOOKUP(E169,Lookup!$G$3:$H$22,2,FALSE)+VLOOKUP(F169,Lookup!$I$3:$J$22,2,FALSE)))</f>
        <v/>
      </c>
      <c r="H169" s="18"/>
      <c r="I169" s="18"/>
      <c r="J169" s="18"/>
      <c r="K169" s="18"/>
      <c r="L169" s="19"/>
    </row>
    <row r="170" spans="1:12">
      <c r="A170" s="17" t="s">
        <v>409</v>
      </c>
      <c r="B170" s="18"/>
      <c r="C170" s="73"/>
      <c r="D170" s="18"/>
      <c r="E170" s="18"/>
      <c r="F170" s="18"/>
      <c r="G170" s="27" t="str">
        <f>IF(D170="","",(VLOOKUP(D170,Lookup!$E$3:$F$22,2,FALSE)*VLOOKUP(E170,Lookup!$G$3:$H$22,2,FALSE)+VLOOKUP(F170,Lookup!$I$3:$J$22,2,FALSE)))</f>
        <v/>
      </c>
      <c r="H170" s="18"/>
      <c r="I170" s="18"/>
      <c r="J170" s="18"/>
      <c r="K170" s="18"/>
      <c r="L170" s="19"/>
    </row>
    <row r="171" spans="1:12">
      <c r="A171" s="26" t="s">
        <v>410</v>
      </c>
      <c r="B171" s="18"/>
      <c r="C171" s="73"/>
      <c r="D171" s="18"/>
      <c r="E171" s="18"/>
      <c r="F171" s="18"/>
      <c r="G171" s="27" t="str">
        <f>IF(D171="","",(VLOOKUP(D171,Lookup!$E$3:$F$22,2,FALSE)*VLOOKUP(E171,Lookup!$G$3:$H$22,2,FALSE)+VLOOKUP(F171,Lookup!$I$3:$J$22,2,FALSE)))</f>
        <v/>
      </c>
      <c r="H171" s="18"/>
      <c r="I171" s="18"/>
      <c r="J171" s="18"/>
      <c r="K171" s="18"/>
      <c r="L171" s="19"/>
    </row>
    <row r="172" spans="1:12">
      <c r="A172" s="17" t="s">
        <v>411</v>
      </c>
      <c r="B172" s="18"/>
      <c r="C172" s="73"/>
      <c r="D172" s="18"/>
      <c r="E172" s="18"/>
      <c r="F172" s="18"/>
      <c r="G172" s="27" t="str">
        <f>IF(D172="","",(VLOOKUP(D172,Lookup!$E$3:$F$22,2,FALSE)*VLOOKUP(E172,Lookup!$G$3:$H$22,2,FALSE)+VLOOKUP(F172,Lookup!$I$3:$J$22,2,FALSE)))</f>
        <v/>
      </c>
      <c r="H172" s="18"/>
      <c r="I172" s="18"/>
      <c r="J172" s="18"/>
      <c r="K172" s="18"/>
      <c r="L172" s="19"/>
    </row>
    <row r="173" spans="1:12">
      <c r="A173" s="26" t="s">
        <v>412</v>
      </c>
      <c r="B173" s="18"/>
      <c r="C173" s="73"/>
      <c r="D173" s="18"/>
      <c r="E173" s="18"/>
      <c r="F173" s="18"/>
      <c r="G173" s="27" t="str">
        <f>IF(D173="","",(VLOOKUP(D173,Lookup!$E$3:$F$22,2,FALSE)*VLOOKUP(E173,Lookup!$G$3:$H$22,2,FALSE)+VLOOKUP(F173,Lookup!$I$3:$J$22,2,FALSE)))</f>
        <v/>
      </c>
      <c r="H173" s="18"/>
      <c r="I173" s="18"/>
      <c r="J173" s="18"/>
      <c r="K173" s="18"/>
      <c r="L173" s="19"/>
    </row>
    <row r="174" spans="1:12">
      <c r="A174" s="17" t="s">
        <v>413</v>
      </c>
      <c r="B174" s="18"/>
      <c r="C174" s="73"/>
      <c r="D174" s="18"/>
      <c r="E174" s="18"/>
      <c r="F174" s="18"/>
      <c r="G174" s="27" t="str">
        <f>IF(D174="","",(VLOOKUP(D174,Lookup!$E$3:$F$22,2,FALSE)*VLOOKUP(E174,Lookup!$G$3:$H$22,2,FALSE)+VLOOKUP(F174,Lookup!$I$3:$J$22,2,FALSE)))</f>
        <v/>
      </c>
      <c r="H174" s="18"/>
      <c r="I174" s="18"/>
      <c r="J174" s="18"/>
      <c r="K174" s="18"/>
      <c r="L174" s="19"/>
    </row>
    <row r="175" spans="1:12">
      <c r="A175" s="26" t="s">
        <v>414</v>
      </c>
      <c r="B175" s="18"/>
      <c r="C175" s="73"/>
      <c r="D175" s="18"/>
      <c r="E175" s="18"/>
      <c r="F175" s="18"/>
      <c r="G175" s="27" t="str">
        <f>IF(D175="","",(VLOOKUP(D175,Lookup!$E$3:$F$22,2,FALSE)*VLOOKUP(E175,Lookup!$G$3:$H$22,2,FALSE)+VLOOKUP(F175,Lookup!$I$3:$J$22,2,FALSE)))</f>
        <v/>
      </c>
      <c r="H175" s="18"/>
      <c r="I175" s="18"/>
      <c r="J175" s="18"/>
      <c r="K175" s="18"/>
      <c r="L175" s="19"/>
    </row>
    <row r="176" spans="1:12">
      <c r="A176" s="17" t="s">
        <v>415</v>
      </c>
      <c r="B176" s="18"/>
      <c r="C176" s="73"/>
      <c r="D176" s="18"/>
      <c r="E176" s="18"/>
      <c r="F176" s="18"/>
      <c r="G176" s="27" t="str">
        <f>IF(D176="","",(VLOOKUP(D176,Lookup!$E$3:$F$22,2,FALSE)*VLOOKUP(E176,Lookup!$G$3:$H$22,2,FALSE)+VLOOKUP(F176,Lookup!$I$3:$J$22,2,FALSE)))</f>
        <v/>
      </c>
      <c r="H176" s="18"/>
      <c r="I176" s="18"/>
      <c r="J176" s="18"/>
      <c r="K176" s="18"/>
      <c r="L176" s="19"/>
    </row>
    <row r="177" spans="1:12">
      <c r="A177" s="26" t="s">
        <v>416</v>
      </c>
      <c r="B177" s="18"/>
      <c r="C177" s="73"/>
      <c r="D177" s="18"/>
      <c r="E177" s="18"/>
      <c r="F177" s="18"/>
      <c r="G177" s="27" t="str">
        <f>IF(D177="","",(VLOOKUP(D177,Lookup!$E$3:$F$22,2,FALSE)*VLOOKUP(E177,Lookup!$G$3:$H$22,2,FALSE)+VLOOKUP(F177,Lookup!$I$3:$J$22,2,FALSE)))</f>
        <v/>
      </c>
      <c r="H177" s="18"/>
      <c r="I177" s="18"/>
      <c r="J177" s="18"/>
      <c r="K177" s="18"/>
      <c r="L177" s="19"/>
    </row>
    <row r="178" spans="1:12">
      <c r="A178" s="17" t="s">
        <v>417</v>
      </c>
      <c r="B178" s="18"/>
      <c r="C178" s="73"/>
      <c r="D178" s="18"/>
      <c r="E178" s="18"/>
      <c r="F178" s="18"/>
      <c r="G178" s="27" t="str">
        <f>IF(D178="","",(VLOOKUP(D178,Lookup!$E$3:$F$22,2,FALSE)*VLOOKUP(E178,Lookup!$G$3:$H$22,2,FALSE)+VLOOKUP(F178,Lookup!$I$3:$J$22,2,FALSE)))</f>
        <v/>
      </c>
      <c r="H178" s="18"/>
      <c r="I178" s="18"/>
      <c r="J178" s="18"/>
      <c r="K178" s="18"/>
      <c r="L178" s="19"/>
    </row>
    <row r="179" spans="1:12">
      <c r="A179" s="26" t="s">
        <v>418</v>
      </c>
      <c r="B179" s="18"/>
      <c r="C179" s="73"/>
      <c r="D179" s="18"/>
      <c r="E179" s="18"/>
      <c r="F179" s="18"/>
      <c r="G179" s="27" t="str">
        <f>IF(D179="","",(VLOOKUP(D179,Lookup!$E$3:$F$22,2,FALSE)*VLOOKUP(E179,Lookup!$G$3:$H$22,2,FALSE)+VLOOKUP(F179,Lookup!$I$3:$J$22,2,FALSE)))</f>
        <v/>
      </c>
      <c r="H179" s="18"/>
      <c r="I179" s="18"/>
      <c r="J179" s="18"/>
      <c r="K179" s="18"/>
      <c r="L179" s="19"/>
    </row>
    <row r="180" spans="1:12">
      <c r="A180" s="17" t="s">
        <v>419</v>
      </c>
      <c r="B180" s="18"/>
      <c r="C180" s="73"/>
      <c r="D180" s="18"/>
      <c r="E180" s="18"/>
      <c r="F180" s="18"/>
      <c r="G180" s="27" t="str">
        <f>IF(D180="","",(VLOOKUP(D180,Lookup!$E$3:$F$22,2,FALSE)*VLOOKUP(E180,Lookup!$G$3:$H$22,2,FALSE)+VLOOKUP(F180,Lookup!$I$3:$J$22,2,FALSE)))</f>
        <v/>
      </c>
      <c r="H180" s="18"/>
      <c r="I180" s="18"/>
      <c r="J180" s="18"/>
      <c r="K180" s="18"/>
      <c r="L180" s="19"/>
    </row>
    <row r="181" spans="1:12">
      <c r="A181" s="26" t="s">
        <v>420</v>
      </c>
      <c r="B181" s="18"/>
      <c r="C181" s="73"/>
      <c r="D181" s="18"/>
      <c r="E181" s="18"/>
      <c r="F181" s="18"/>
      <c r="G181" s="27" t="str">
        <f>IF(D181="","",(VLOOKUP(D181,Lookup!$E$3:$F$22,2,FALSE)*VLOOKUP(E181,Lookup!$G$3:$H$22,2,FALSE)+VLOOKUP(F181,Lookup!$I$3:$J$22,2,FALSE)))</f>
        <v/>
      </c>
      <c r="H181" s="18"/>
      <c r="I181" s="18"/>
      <c r="J181" s="18"/>
      <c r="K181" s="18"/>
      <c r="L181" s="19"/>
    </row>
    <row r="182" spans="1:12">
      <c r="A182" s="17" t="s">
        <v>421</v>
      </c>
      <c r="B182" s="18"/>
      <c r="C182" s="73"/>
      <c r="D182" s="18"/>
      <c r="E182" s="18"/>
      <c r="F182" s="18"/>
      <c r="G182" s="27" t="str">
        <f>IF(D182="","",(VLOOKUP(D182,Lookup!$E$3:$F$22,2,FALSE)*VLOOKUP(E182,Lookup!$G$3:$H$22,2,FALSE)+VLOOKUP(F182,Lookup!$I$3:$J$22,2,FALSE)))</f>
        <v/>
      </c>
      <c r="H182" s="18"/>
      <c r="I182" s="18"/>
      <c r="J182" s="18"/>
      <c r="K182" s="18"/>
      <c r="L182" s="19"/>
    </row>
    <row r="183" spans="1:12">
      <c r="A183" s="26" t="s">
        <v>422</v>
      </c>
      <c r="B183" s="18"/>
      <c r="C183" s="73"/>
      <c r="D183" s="18"/>
      <c r="E183" s="18"/>
      <c r="F183" s="18"/>
      <c r="G183" s="27" t="str">
        <f>IF(D183="","",(VLOOKUP(D183,Lookup!$E$3:$F$22,2,FALSE)*VLOOKUP(E183,Lookup!$G$3:$H$22,2,FALSE)+VLOOKUP(F183,Lookup!$I$3:$J$22,2,FALSE)))</f>
        <v/>
      </c>
      <c r="H183" s="18"/>
      <c r="I183" s="18"/>
      <c r="J183" s="18"/>
      <c r="K183" s="18"/>
      <c r="L183" s="19"/>
    </row>
    <row r="184" spans="1:12">
      <c r="A184" s="17" t="s">
        <v>423</v>
      </c>
      <c r="B184" s="18"/>
      <c r="C184" s="73"/>
      <c r="D184" s="18"/>
      <c r="E184" s="18"/>
      <c r="F184" s="18"/>
      <c r="G184" s="27" t="str">
        <f>IF(D184="","",(VLOOKUP(D184,Lookup!$E$3:$F$22,2,FALSE)*VLOOKUP(E184,Lookup!$G$3:$H$22,2,FALSE)+VLOOKUP(F184,Lookup!$I$3:$J$22,2,FALSE)))</f>
        <v/>
      </c>
      <c r="H184" s="18"/>
      <c r="I184" s="18"/>
      <c r="J184" s="18"/>
      <c r="K184" s="18"/>
      <c r="L184" s="19"/>
    </row>
    <row r="185" spans="1:12">
      <c r="A185" s="26" t="s">
        <v>424</v>
      </c>
      <c r="B185" s="18"/>
      <c r="C185" s="73"/>
      <c r="D185" s="18"/>
      <c r="E185" s="18"/>
      <c r="F185" s="18"/>
      <c r="G185" s="27" t="str">
        <f>IF(D185="","",(VLOOKUP(D185,Lookup!$E$3:$F$22,2,FALSE)*VLOOKUP(E185,Lookup!$G$3:$H$22,2,FALSE)+VLOOKUP(F185,Lookup!$I$3:$J$22,2,FALSE)))</f>
        <v/>
      </c>
      <c r="H185" s="18"/>
      <c r="I185" s="18"/>
      <c r="J185" s="18"/>
      <c r="K185" s="18"/>
      <c r="L185" s="19"/>
    </row>
    <row r="186" spans="1:12">
      <c r="A186" s="17" t="s">
        <v>425</v>
      </c>
      <c r="B186" s="18"/>
      <c r="C186" s="73"/>
      <c r="D186" s="18"/>
      <c r="E186" s="18"/>
      <c r="F186" s="18"/>
      <c r="G186" s="27" t="str">
        <f>IF(D186="","",(VLOOKUP(D186,Lookup!$E$3:$F$22,2,FALSE)*VLOOKUP(E186,Lookup!$G$3:$H$22,2,FALSE)+VLOOKUP(F186,Lookup!$I$3:$J$22,2,FALSE)))</f>
        <v/>
      </c>
      <c r="H186" s="18"/>
      <c r="I186" s="18"/>
      <c r="J186" s="18"/>
      <c r="K186" s="18"/>
      <c r="L186" s="19"/>
    </row>
    <row r="187" spans="1:12">
      <c r="A187" s="26" t="s">
        <v>426</v>
      </c>
      <c r="B187" s="18"/>
      <c r="C187" s="73"/>
      <c r="D187" s="18"/>
      <c r="E187" s="18"/>
      <c r="F187" s="18"/>
      <c r="G187" s="27" t="str">
        <f>IF(D187="","",(VLOOKUP(D187,Lookup!$E$3:$F$22,2,FALSE)*VLOOKUP(E187,Lookup!$G$3:$H$22,2,FALSE)+VLOOKUP(F187,Lookup!$I$3:$J$22,2,FALSE)))</f>
        <v/>
      </c>
      <c r="H187" s="18"/>
      <c r="I187" s="18"/>
      <c r="J187" s="18"/>
      <c r="K187" s="18"/>
      <c r="L187" s="19"/>
    </row>
    <row r="188" spans="1:12">
      <c r="A188" s="17" t="s">
        <v>427</v>
      </c>
      <c r="B188" s="18"/>
      <c r="C188" s="73"/>
      <c r="D188" s="18"/>
      <c r="E188" s="18"/>
      <c r="F188" s="18"/>
      <c r="G188" s="27" t="str">
        <f>IF(D188="","",(VLOOKUP(D188,Lookup!$E$3:$F$22,2,FALSE)*VLOOKUP(E188,Lookup!$G$3:$H$22,2,FALSE)+VLOOKUP(F188,Lookup!$I$3:$J$22,2,FALSE)))</f>
        <v/>
      </c>
      <c r="H188" s="18"/>
      <c r="I188" s="18"/>
      <c r="J188" s="18"/>
      <c r="K188" s="18"/>
      <c r="L188" s="19"/>
    </row>
    <row r="189" spans="1:12">
      <c r="A189" s="26" t="s">
        <v>428</v>
      </c>
      <c r="B189" s="18"/>
      <c r="C189" s="73"/>
      <c r="D189" s="18"/>
      <c r="E189" s="18"/>
      <c r="F189" s="18"/>
      <c r="G189" s="27" t="str">
        <f>IF(D189="","",(VLOOKUP(D189,Lookup!$E$3:$F$22,2,FALSE)*VLOOKUP(E189,Lookup!$G$3:$H$22,2,FALSE)+VLOOKUP(F189,Lookup!$I$3:$J$22,2,FALSE)))</f>
        <v/>
      </c>
      <c r="H189" s="18"/>
      <c r="I189" s="18"/>
      <c r="J189" s="18"/>
      <c r="K189" s="18"/>
      <c r="L189" s="19"/>
    </row>
    <row r="190" spans="1:12">
      <c r="A190" s="17" t="s">
        <v>429</v>
      </c>
      <c r="B190" s="18"/>
      <c r="C190" s="73"/>
      <c r="D190" s="18"/>
      <c r="E190" s="18"/>
      <c r="F190" s="18"/>
      <c r="G190" s="27" t="str">
        <f>IF(D190="","",(VLOOKUP(D190,Lookup!$E$3:$F$22,2,FALSE)*VLOOKUP(E190,Lookup!$G$3:$H$22,2,FALSE)+VLOOKUP(F190,Lookup!$I$3:$J$22,2,FALSE)))</f>
        <v/>
      </c>
      <c r="H190" s="18"/>
      <c r="I190" s="18"/>
      <c r="J190" s="18"/>
      <c r="K190" s="18"/>
      <c r="L190" s="19"/>
    </row>
    <row r="191" spans="1:12">
      <c r="A191" s="26" t="s">
        <v>430</v>
      </c>
      <c r="B191" s="18"/>
      <c r="C191" s="73"/>
      <c r="D191" s="18"/>
      <c r="E191" s="18"/>
      <c r="F191" s="18"/>
      <c r="G191" s="27" t="str">
        <f>IF(D191="","",(VLOOKUP(D191,Lookup!$E$3:$F$22,2,FALSE)*VLOOKUP(E191,Lookup!$G$3:$H$22,2,FALSE)+VLOOKUP(F191,Lookup!$I$3:$J$22,2,FALSE)))</f>
        <v/>
      </c>
      <c r="H191" s="18"/>
      <c r="I191" s="18"/>
      <c r="J191" s="18"/>
      <c r="K191" s="18"/>
      <c r="L191" s="19"/>
    </row>
    <row r="192" spans="1:12">
      <c r="A192" s="17" t="s">
        <v>431</v>
      </c>
      <c r="B192" s="18"/>
      <c r="C192" s="73"/>
      <c r="D192" s="18"/>
      <c r="E192" s="18"/>
      <c r="F192" s="18"/>
      <c r="G192" s="27" t="str">
        <f>IF(D192="","",(VLOOKUP(D192,Lookup!$E$3:$F$22,2,FALSE)*VLOOKUP(E192,Lookup!$G$3:$H$22,2,FALSE)+VLOOKUP(F192,Lookup!$I$3:$J$22,2,FALSE)))</f>
        <v/>
      </c>
      <c r="H192" s="18"/>
      <c r="I192" s="18"/>
      <c r="J192" s="18"/>
      <c r="K192" s="18"/>
      <c r="L192" s="19"/>
    </row>
    <row r="193" spans="1:12">
      <c r="A193" s="26" t="s">
        <v>432</v>
      </c>
      <c r="B193" s="18"/>
      <c r="C193" s="73"/>
      <c r="D193" s="18"/>
      <c r="E193" s="18"/>
      <c r="F193" s="18"/>
      <c r="G193" s="27" t="str">
        <f>IF(D193="","",(VLOOKUP(D193,Lookup!$E$3:$F$22,2,FALSE)*VLOOKUP(E193,Lookup!$G$3:$H$22,2,FALSE)+VLOOKUP(F193,Lookup!$I$3:$J$22,2,FALSE)))</f>
        <v/>
      </c>
      <c r="H193" s="18"/>
      <c r="I193" s="18"/>
      <c r="J193" s="18"/>
      <c r="K193" s="18"/>
      <c r="L193" s="19"/>
    </row>
    <row r="194" spans="1:12">
      <c r="A194" s="17" t="s">
        <v>433</v>
      </c>
      <c r="B194" s="18"/>
      <c r="C194" s="73"/>
      <c r="D194" s="18"/>
      <c r="E194" s="18"/>
      <c r="F194" s="18"/>
      <c r="G194" s="27" t="str">
        <f>IF(D194="","",(VLOOKUP(D194,Lookup!$E$3:$F$22,2,FALSE)*VLOOKUP(E194,Lookup!$G$3:$H$22,2,FALSE)+VLOOKUP(F194,Lookup!$I$3:$J$22,2,FALSE)))</f>
        <v/>
      </c>
      <c r="H194" s="18"/>
      <c r="I194" s="18"/>
      <c r="J194" s="18"/>
      <c r="K194" s="18"/>
      <c r="L194" s="19"/>
    </row>
    <row r="195" spans="1:12">
      <c r="A195" s="26" t="s">
        <v>434</v>
      </c>
      <c r="B195" s="18"/>
      <c r="C195" s="73"/>
      <c r="D195" s="18"/>
      <c r="E195" s="18"/>
      <c r="F195" s="18"/>
      <c r="G195" s="27" t="str">
        <f>IF(D195="","",(VLOOKUP(D195,Lookup!$E$3:$F$22,2,FALSE)*VLOOKUP(E195,Lookup!$G$3:$H$22,2,FALSE)+VLOOKUP(F195,Lookup!$I$3:$J$22,2,FALSE)))</f>
        <v/>
      </c>
      <c r="H195" s="18"/>
      <c r="I195" s="18"/>
      <c r="J195" s="18"/>
      <c r="K195" s="18"/>
      <c r="L195" s="19"/>
    </row>
    <row r="196" spans="1:12">
      <c r="A196" s="17" t="s">
        <v>435</v>
      </c>
      <c r="B196" s="18"/>
      <c r="C196" s="73"/>
      <c r="D196" s="18"/>
      <c r="E196" s="18"/>
      <c r="F196" s="18"/>
      <c r="G196" s="27" t="str">
        <f>IF(D196="","",(VLOOKUP(D196,Lookup!$E$3:$F$22,2,FALSE)*VLOOKUP(E196,Lookup!$G$3:$H$22,2,FALSE)+VLOOKUP(F196,Lookup!$I$3:$J$22,2,FALSE)))</f>
        <v/>
      </c>
      <c r="H196" s="18"/>
      <c r="I196" s="18"/>
      <c r="J196" s="18"/>
      <c r="K196" s="18"/>
      <c r="L196" s="19"/>
    </row>
    <row r="197" spans="1:12">
      <c r="A197" s="26" t="s">
        <v>436</v>
      </c>
      <c r="B197" s="18"/>
      <c r="C197" s="73"/>
      <c r="D197" s="18"/>
      <c r="E197" s="18"/>
      <c r="F197" s="18"/>
      <c r="G197" s="27" t="str">
        <f>IF(D197="","",(VLOOKUP(D197,Lookup!$E$3:$F$22,2,FALSE)*VLOOKUP(E197,Lookup!$G$3:$H$22,2,FALSE)+VLOOKUP(F197,Lookup!$I$3:$J$22,2,FALSE)))</f>
        <v/>
      </c>
      <c r="H197" s="18"/>
      <c r="I197" s="18"/>
      <c r="J197" s="18"/>
      <c r="K197" s="18"/>
      <c r="L197" s="19"/>
    </row>
    <row r="198" spans="1:12">
      <c r="A198" s="17" t="s">
        <v>437</v>
      </c>
      <c r="B198" s="18"/>
      <c r="C198" s="73"/>
      <c r="D198" s="18"/>
      <c r="E198" s="18"/>
      <c r="F198" s="18"/>
      <c r="G198" s="27" t="str">
        <f>IF(D198="","",(VLOOKUP(D198,Lookup!$E$3:$F$22,2,FALSE)*VLOOKUP(E198,Lookup!$G$3:$H$22,2,FALSE)+VLOOKUP(F198,Lookup!$I$3:$J$22,2,FALSE)))</f>
        <v/>
      </c>
      <c r="H198" s="18"/>
      <c r="I198" s="18"/>
      <c r="J198" s="18"/>
      <c r="K198" s="18"/>
      <c r="L198" s="19"/>
    </row>
    <row r="199" spans="1:12">
      <c r="A199" s="26" t="s">
        <v>438</v>
      </c>
      <c r="B199" s="18"/>
      <c r="C199" s="73"/>
      <c r="D199" s="18"/>
      <c r="E199" s="18"/>
      <c r="F199" s="18"/>
      <c r="G199" s="27" t="str">
        <f>IF(D199="","",(VLOOKUP(D199,Lookup!$E$3:$F$22,2,FALSE)*VLOOKUP(E199,Lookup!$G$3:$H$22,2,FALSE)+VLOOKUP(F199,Lookup!$I$3:$J$22,2,FALSE)))</f>
        <v/>
      </c>
      <c r="H199" s="18"/>
      <c r="I199" s="18"/>
      <c r="J199" s="18"/>
      <c r="K199" s="18"/>
      <c r="L199" s="19"/>
    </row>
    <row r="200" spans="1:12">
      <c r="A200" s="17" t="s">
        <v>439</v>
      </c>
      <c r="B200" s="18"/>
      <c r="C200" s="73"/>
      <c r="D200" s="18"/>
      <c r="E200" s="18"/>
      <c r="F200" s="18"/>
      <c r="G200" s="27" t="str">
        <f>IF(D200="","",(VLOOKUP(D200,Lookup!$E$3:$F$22,2,FALSE)*VLOOKUP(E200,Lookup!$G$3:$H$22,2,FALSE)+VLOOKUP(F200,Lookup!$I$3:$J$22,2,FALSE)))</f>
        <v/>
      </c>
      <c r="H200" s="18"/>
      <c r="I200" s="18"/>
      <c r="J200" s="18"/>
      <c r="K200" s="18"/>
      <c r="L200" s="19"/>
    </row>
    <row r="201" spans="1:12" ht="15.75" thickBot="1">
      <c r="A201" s="26" t="s">
        <v>440</v>
      </c>
      <c r="B201" s="20"/>
      <c r="C201" s="20"/>
      <c r="D201" s="20"/>
      <c r="E201" s="20"/>
      <c r="F201" s="20"/>
      <c r="G201" s="20" t="str">
        <f>IF(D201="","",(VLOOKUP(D201,Lookup!$E$3:$F$22,2,FALSE)*VLOOKUP(E201,Lookup!$G$3:$H$22,2,FALSE)+VLOOKUP(F201,Lookup!$I$3:$J$22,2,FALSE)))</f>
        <v/>
      </c>
      <c r="H201" s="20"/>
      <c r="I201" s="20"/>
      <c r="J201" s="20"/>
      <c r="K201" s="20"/>
      <c r="L201" s="21"/>
    </row>
    <row r="202" spans="1:12" ht="15.75" thickTop="1"/>
  </sheetData>
  <mergeCells count="6">
    <mergeCell ref="K1:K2"/>
    <mergeCell ref="L1:L2"/>
    <mergeCell ref="A1:C1"/>
    <mergeCell ref="D1:G1"/>
    <mergeCell ref="I1:I2"/>
    <mergeCell ref="J1:J2"/>
  </mergeCells>
  <phoneticPr fontId="13" type="noConversion"/>
  <conditionalFormatting sqref="I1:K1">
    <cfRule type="cellIs" dxfId="1" priority="3" stopIfTrue="1" operator="equal">
      <formula>"High"</formula>
    </cfRule>
  </conditionalFormatting>
  <conditionalFormatting sqref="I1:K1">
    <cfRule type="cellIs" dxfId="0" priority="4" stopIfTrue="1" operator="equal">
      <formula>"Medium"</formula>
    </cfRule>
  </conditionalFormatting>
  <dataValidations count="7">
    <dataValidation type="list" allowBlank="1" showInputMessage="1" showErrorMessage="1" sqref="F1" xr:uid="{00000000-0002-0000-0300-000000000000}">
      <formula1>Proximity</formula1>
    </dataValidation>
    <dataValidation type="list" allowBlank="1" showInputMessage="1" showErrorMessage="1" sqref="E1" xr:uid="{00000000-0002-0000-0300-000001000000}">
      <formula1>Impact</formula1>
    </dataValidation>
    <dataValidation type="list" allowBlank="1" showInputMessage="1" showErrorMessage="1" sqref="D1" xr:uid="{00000000-0002-0000-0300-000002000000}">
      <formula1>Chance</formula1>
    </dataValidation>
    <dataValidation type="list" allowBlank="1" showInputMessage="1" showErrorMessage="1" sqref="D3:D201" xr:uid="{00000000-0002-0000-0300-000003000000}">
      <formula1>Lookup4</formula1>
    </dataValidation>
    <dataValidation type="list" allowBlank="1" showInputMessage="1" showErrorMessage="1" sqref="E3:E201" xr:uid="{00000000-0002-0000-0300-000004000000}">
      <formula1>Lookup6</formula1>
    </dataValidation>
    <dataValidation type="list" allowBlank="1" showInputMessage="1" showErrorMessage="1" sqref="F3:F201" xr:uid="{00000000-0002-0000-0300-000005000000}">
      <formula1>Lookup8</formula1>
    </dataValidation>
    <dataValidation type="list" allowBlank="1" showInputMessage="1" showErrorMessage="1" sqref="B3:B201" xr:uid="{00000000-0002-0000-0300-000006000000}">
      <formula1>Lookup10</formula1>
    </dataValidation>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T21"/>
  <sheetViews>
    <sheetView topLeftCell="D5" zoomScale="70" zoomScaleNormal="70" workbookViewId="0">
      <selection activeCell="T2" sqref="T2"/>
    </sheetView>
  </sheetViews>
  <sheetFormatPr defaultRowHeight="15"/>
  <cols>
    <col min="1" max="1" width="17.7109375" customWidth="1"/>
    <col min="2" max="2" width="15.28515625" customWidth="1"/>
    <col min="3" max="5" width="13.7109375" customWidth="1"/>
    <col min="6" max="6" width="18.28515625" bestFit="1" customWidth="1"/>
    <col min="7" max="7" width="3.42578125" customWidth="1"/>
    <col min="8" max="8" width="17.7109375" customWidth="1"/>
    <col min="9" max="9" width="15.5703125" customWidth="1"/>
    <col min="10" max="12" width="13.7109375" customWidth="1"/>
    <col min="13" max="13" width="18.28515625" bestFit="1" customWidth="1"/>
    <col min="14" max="14" width="3.42578125" customWidth="1"/>
    <col min="15" max="15" width="17.7109375" customWidth="1"/>
    <col min="16" max="16" width="15.7109375" customWidth="1"/>
    <col min="17" max="20" width="13.7109375" customWidth="1"/>
  </cols>
  <sheetData>
    <row r="1" spans="1:20" s="46" customFormat="1" ht="17.25" thickTop="1" thickBot="1">
      <c r="A1" s="47" t="s">
        <v>441</v>
      </c>
      <c r="B1" s="48" t="s">
        <v>69</v>
      </c>
      <c r="C1" s="49" t="s">
        <v>442</v>
      </c>
      <c r="D1" s="151" t="s">
        <v>73</v>
      </c>
      <c r="E1" s="152"/>
      <c r="F1" s="153"/>
      <c r="H1" s="47" t="s">
        <v>441</v>
      </c>
      <c r="I1" s="48" t="s">
        <v>75</v>
      </c>
      <c r="J1" s="49" t="s">
        <v>442</v>
      </c>
      <c r="K1" s="151" t="s">
        <v>77</v>
      </c>
      <c r="L1" s="152"/>
      <c r="M1" s="153"/>
      <c r="O1" s="47" t="s">
        <v>441</v>
      </c>
      <c r="P1" s="48" t="s">
        <v>443</v>
      </c>
      <c r="Q1" s="49" t="s">
        <v>442</v>
      </c>
      <c r="R1" s="151" t="s">
        <v>444</v>
      </c>
      <c r="S1" s="152"/>
      <c r="T1" s="153"/>
    </row>
    <row r="2" spans="1:20" s="46" customFormat="1" ht="17.25" thickTop="1" thickBot="1">
      <c r="A2" s="47" t="s">
        <v>445</v>
      </c>
      <c r="B2" s="48" t="s">
        <v>446</v>
      </c>
      <c r="C2" s="49" t="s">
        <v>447</v>
      </c>
      <c r="D2" s="50" t="s">
        <v>8</v>
      </c>
      <c r="E2" s="51" t="s">
        <v>448</v>
      </c>
      <c r="F2" s="52" t="s">
        <v>449</v>
      </c>
      <c r="H2" s="47" t="s">
        <v>445</v>
      </c>
      <c r="I2" s="48" t="s">
        <v>446</v>
      </c>
      <c r="J2" s="49" t="s">
        <v>447</v>
      </c>
      <c r="K2" s="50" t="s">
        <v>8</v>
      </c>
      <c r="L2" s="51" t="s">
        <v>448</v>
      </c>
      <c r="M2" s="52" t="s">
        <v>450</v>
      </c>
      <c r="O2" s="47" t="s">
        <v>445</v>
      </c>
      <c r="P2" s="48" t="s">
        <v>451</v>
      </c>
      <c r="Q2" s="49" t="s">
        <v>447</v>
      </c>
      <c r="R2" s="50" t="s">
        <v>8</v>
      </c>
      <c r="S2" s="51" t="s">
        <v>448</v>
      </c>
      <c r="T2" s="52" t="s">
        <v>452</v>
      </c>
    </row>
    <row r="3" spans="1:20" ht="130.5" customHeight="1" thickTop="1">
      <c r="A3" s="154" t="s">
        <v>453</v>
      </c>
      <c r="B3" s="155"/>
      <c r="C3" s="156"/>
      <c r="D3" s="157"/>
      <c r="E3" s="157"/>
      <c r="F3" s="158"/>
      <c r="H3" s="154" t="s">
        <v>453</v>
      </c>
      <c r="I3" s="166"/>
      <c r="J3" s="156"/>
      <c r="K3" s="157"/>
      <c r="L3" s="157"/>
      <c r="M3" s="158"/>
      <c r="O3" s="154" t="s">
        <v>453</v>
      </c>
      <c r="P3" s="155"/>
      <c r="Q3" s="156"/>
      <c r="R3" s="157"/>
      <c r="S3" s="157"/>
      <c r="T3" s="158"/>
    </row>
    <row r="4" spans="1:20" ht="134.25" customHeight="1">
      <c r="A4" s="159" t="s">
        <v>454</v>
      </c>
      <c r="B4" s="160"/>
      <c r="C4" s="161"/>
      <c r="D4" s="162"/>
      <c r="E4" s="162"/>
      <c r="F4" s="163"/>
      <c r="H4" s="159" t="s">
        <v>454</v>
      </c>
      <c r="I4" s="160"/>
      <c r="J4" s="161"/>
      <c r="K4" s="162"/>
      <c r="L4" s="162"/>
      <c r="M4" s="163"/>
      <c r="O4" s="159" t="s">
        <v>454</v>
      </c>
      <c r="P4" s="160"/>
      <c r="Q4" s="161"/>
      <c r="R4" s="162"/>
      <c r="S4" s="162"/>
      <c r="T4" s="163"/>
    </row>
    <row r="5" spans="1:20" ht="142.5" customHeight="1">
      <c r="A5" s="159" t="s">
        <v>455</v>
      </c>
      <c r="B5" s="160"/>
      <c r="C5" s="161"/>
      <c r="D5" s="162"/>
      <c r="E5" s="162"/>
      <c r="F5" s="163"/>
      <c r="H5" s="159" t="s">
        <v>455</v>
      </c>
      <c r="I5" s="160"/>
      <c r="J5" s="161"/>
      <c r="K5" s="162"/>
      <c r="L5" s="162"/>
      <c r="M5" s="163"/>
      <c r="O5" s="159" t="s">
        <v>455</v>
      </c>
      <c r="P5" s="160"/>
      <c r="Q5" s="161"/>
      <c r="R5" s="162"/>
      <c r="S5" s="162"/>
      <c r="T5" s="163"/>
    </row>
    <row r="6" spans="1:20" ht="136.5" customHeight="1" thickBot="1">
      <c r="A6" s="164" t="s">
        <v>456</v>
      </c>
      <c r="B6" s="165"/>
      <c r="C6" s="148"/>
      <c r="D6" s="149"/>
      <c r="E6" s="149"/>
      <c r="F6" s="150"/>
      <c r="H6" s="164" t="s">
        <v>456</v>
      </c>
      <c r="I6" s="165"/>
      <c r="J6" s="148"/>
      <c r="K6" s="149"/>
      <c r="L6" s="149"/>
      <c r="M6" s="150"/>
      <c r="O6" s="164" t="s">
        <v>456</v>
      </c>
      <c r="P6" s="165"/>
      <c r="Q6" s="148"/>
      <c r="R6" s="149"/>
      <c r="S6" s="149"/>
      <c r="T6" s="150"/>
    </row>
    <row r="7" spans="1:20" ht="15.75" thickTop="1">
      <c r="A7" s="42"/>
      <c r="B7" s="42"/>
      <c r="C7" s="42"/>
      <c r="D7" s="42"/>
      <c r="E7" s="42"/>
      <c r="F7" s="43"/>
      <c r="H7" s="42"/>
      <c r="I7" s="42"/>
      <c r="J7" s="42"/>
      <c r="K7" s="42"/>
      <c r="L7" s="42"/>
      <c r="M7" s="43"/>
      <c r="O7" s="42"/>
      <c r="P7" s="42"/>
      <c r="Q7" s="42"/>
      <c r="R7" s="42"/>
      <c r="S7" s="42"/>
      <c r="T7" s="43"/>
    </row>
    <row r="9" spans="1:20">
      <c r="B9" s="39"/>
    </row>
    <row r="10" spans="1:20">
      <c r="B10" s="39"/>
    </row>
    <row r="11" spans="1:20">
      <c r="B11" s="39"/>
    </row>
    <row r="12" spans="1:20">
      <c r="B12" s="39"/>
    </row>
    <row r="13" spans="1:20">
      <c r="B13" s="39"/>
    </row>
    <row r="14" spans="1:20">
      <c r="B14" s="39"/>
    </row>
    <row r="15" spans="1:20">
      <c r="B15" s="40"/>
    </row>
    <row r="18" spans="2:2">
      <c r="B18" s="40"/>
    </row>
    <row r="19" spans="2:2">
      <c r="B19" s="40"/>
    </row>
    <row r="20" spans="2:2">
      <c r="B20" s="40"/>
    </row>
    <row r="21" spans="2:2">
      <c r="B21" s="41"/>
    </row>
  </sheetData>
  <mergeCells count="27">
    <mergeCell ref="A6:B6"/>
    <mergeCell ref="A5:B5"/>
    <mergeCell ref="A3:B3"/>
    <mergeCell ref="A4:B4"/>
    <mergeCell ref="H6:I6"/>
    <mergeCell ref="H5:I5"/>
    <mergeCell ref="J5:M5"/>
    <mergeCell ref="J6:M6"/>
    <mergeCell ref="O5:P5"/>
    <mergeCell ref="O6:P6"/>
    <mergeCell ref="D1:F1"/>
    <mergeCell ref="C3:F3"/>
    <mergeCell ref="C4:F4"/>
    <mergeCell ref="C5:F5"/>
    <mergeCell ref="C6:F6"/>
    <mergeCell ref="K1:M1"/>
    <mergeCell ref="H3:I3"/>
    <mergeCell ref="J3:M3"/>
    <mergeCell ref="H4:I4"/>
    <mergeCell ref="J4:M4"/>
    <mergeCell ref="Q6:T6"/>
    <mergeCell ref="R1:T1"/>
    <mergeCell ref="O3:P3"/>
    <mergeCell ref="Q3:T3"/>
    <mergeCell ref="O4:P4"/>
    <mergeCell ref="Q4:T4"/>
    <mergeCell ref="Q5:T5"/>
  </mergeCells>
  <phoneticPr fontId="13" type="noConversion"/>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1:U24"/>
  <sheetViews>
    <sheetView workbookViewId="0">
      <selection activeCell="D34" sqref="D34"/>
    </sheetView>
  </sheetViews>
  <sheetFormatPr defaultColWidth="40.42578125" defaultRowHeight="15"/>
  <cols>
    <col min="1" max="1" width="8.7109375" style="5" bestFit="1" customWidth="1"/>
    <col min="2" max="2" width="14.7109375" style="5" bestFit="1" customWidth="1"/>
    <col min="3" max="3" width="23.5703125" style="5" bestFit="1" customWidth="1"/>
    <col min="4" max="4" width="30.140625" style="5" bestFit="1" customWidth="1"/>
    <col min="5" max="5" width="22.85546875" style="5" bestFit="1" customWidth="1"/>
    <col min="6" max="6" width="28.85546875" style="5" customWidth="1"/>
    <col min="7" max="7" width="22.140625" style="5" bestFit="1" customWidth="1"/>
    <col min="8" max="8" width="27" style="5" bestFit="1" customWidth="1"/>
    <col min="9" max="9" width="20.85546875" style="5" customWidth="1"/>
    <col min="10" max="10" width="22" style="5" customWidth="1"/>
    <col min="11" max="11" width="20" style="5" bestFit="1" customWidth="1"/>
    <col min="12" max="12" width="13.5703125" style="5" bestFit="1" customWidth="1"/>
    <col min="13" max="13" width="18.85546875" style="5" bestFit="1" customWidth="1"/>
    <col min="14" max="21" width="13.5703125" style="5" bestFit="1" customWidth="1"/>
    <col min="22" max="16384" width="40.42578125" style="5"/>
  </cols>
  <sheetData>
    <row r="1" spans="1:21" s="2" customFormat="1" ht="22.5" thickTop="1" thickBot="1">
      <c r="A1" s="1" t="s">
        <v>206</v>
      </c>
      <c r="B1" s="1" t="s">
        <v>457</v>
      </c>
      <c r="C1" s="1" t="s">
        <v>458</v>
      </c>
      <c r="D1" s="1" t="s">
        <v>459</v>
      </c>
      <c r="E1" s="1" t="s">
        <v>460</v>
      </c>
      <c r="F1" s="1" t="s">
        <v>461</v>
      </c>
      <c r="G1" s="1" t="s">
        <v>462</v>
      </c>
      <c r="H1" s="1" t="s">
        <v>463</v>
      </c>
      <c r="I1" s="1" t="s">
        <v>464</v>
      </c>
      <c r="J1" s="1" t="s">
        <v>465</v>
      </c>
      <c r="K1" s="1" t="s">
        <v>466</v>
      </c>
      <c r="L1" s="1" t="s">
        <v>467</v>
      </c>
      <c r="M1" s="1" t="s">
        <v>468</v>
      </c>
      <c r="N1" s="1" t="s">
        <v>469</v>
      </c>
      <c r="O1" s="1" t="s">
        <v>470</v>
      </c>
      <c r="P1" s="1" t="s">
        <v>471</v>
      </c>
      <c r="Q1" s="1" t="s">
        <v>472</v>
      </c>
      <c r="R1" s="1" t="s">
        <v>473</v>
      </c>
      <c r="S1" s="1" t="s">
        <v>474</v>
      </c>
      <c r="T1" s="1" t="s">
        <v>475</v>
      </c>
      <c r="U1" s="1" t="s">
        <v>476</v>
      </c>
    </row>
    <row r="2" spans="1:21" s="38" customFormat="1" ht="26.25" customHeight="1" thickTop="1" thickBot="1">
      <c r="A2" s="36" t="s">
        <v>477</v>
      </c>
      <c r="B2" s="37" t="s">
        <v>478</v>
      </c>
      <c r="C2" s="37" t="s">
        <v>479</v>
      </c>
      <c r="D2" s="37" t="s">
        <v>480</v>
      </c>
      <c r="E2" s="37" t="s">
        <v>209</v>
      </c>
      <c r="F2" s="37" t="s">
        <v>481</v>
      </c>
      <c r="G2" s="37" t="s">
        <v>482</v>
      </c>
      <c r="H2" s="37" t="s">
        <v>483</v>
      </c>
      <c r="I2" s="37" t="s">
        <v>211</v>
      </c>
      <c r="J2" s="37" t="s">
        <v>484</v>
      </c>
      <c r="K2" s="37" t="s">
        <v>485</v>
      </c>
      <c r="L2" s="37" t="s">
        <v>467</v>
      </c>
      <c r="M2" s="37" t="s">
        <v>468</v>
      </c>
      <c r="N2" s="37" t="s">
        <v>469</v>
      </c>
      <c r="O2" s="37" t="s">
        <v>470</v>
      </c>
      <c r="P2" s="37" t="s">
        <v>471</v>
      </c>
      <c r="Q2" s="37" t="s">
        <v>472</v>
      </c>
      <c r="R2" s="37" t="s">
        <v>473</v>
      </c>
      <c r="S2" s="37" t="s">
        <v>474</v>
      </c>
      <c r="T2" s="37" t="s">
        <v>475</v>
      </c>
      <c r="U2" s="37" t="s">
        <v>476</v>
      </c>
    </row>
    <row r="3" spans="1:21" ht="15.75" thickTop="1">
      <c r="A3" s="167" t="s">
        <v>486</v>
      </c>
      <c r="B3" s="16" t="s">
        <v>478</v>
      </c>
      <c r="C3" s="16" t="s">
        <v>68</v>
      </c>
      <c r="D3" s="3" t="s">
        <v>76</v>
      </c>
      <c r="E3" s="29" t="s">
        <v>487</v>
      </c>
      <c r="F3" s="4">
        <v>5</v>
      </c>
      <c r="G3" s="29" t="s">
        <v>488</v>
      </c>
      <c r="H3" s="31">
        <v>5</v>
      </c>
      <c r="I3" s="32" t="s">
        <v>44</v>
      </c>
      <c r="J3" s="31">
        <v>8</v>
      </c>
      <c r="K3" s="3" t="s">
        <v>215</v>
      </c>
      <c r="L3" s="3" t="s">
        <v>467</v>
      </c>
      <c r="M3" s="3" t="s">
        <v>468</v>
      </c>
      <c r="N3" s="3" t="s">
        <v>469</v>
      </c>
      <c r="O3" s="3" t="s">
        <v>470</v>
      </c>
      <c r="P3" s="3" t="s">
        <v>471</v>
      </c>
      <c r="Q3" s="3" t="s">
        <v>472</v>
      </c>
      <c r="R3" s="3" t="s">
        <v>473</v>
      </c>
      <c r="S3" s="3" t="s">
        <v>474</v>
      </c>
      <c r="T3" s="3" t="s">
        <v>475</v>
      </c>
      <c r="U3" s="3" t="s">
        <v>476</v>
      </c>
    </row>
    <row r="4" spans="1:21">
      <c r="A4" s="167"/>
      <c r="B4" s="9" t="s">
        <v>489</v>
      </c>
      <c r="C4" s="7" t="s">
        <v>490</v>
      </c>
      <c r="D4" s="6" t="s">
        <v>71</v>
      </c>
      <c r="E4" s="30" t="s">
        <v>217</v>
      </c>
      <c r="F4" s="7">
        <v>4</v>
      </c>
      <c r="G4" s="30" t="s">
        <v>218</v>
      </c>
      <c r="H4" s="33">
        <v>4</v>
      </c>
      <c r="I4" s="34" t="s">
        <v>243</v>
      </c>
      <c r="J4" s="33">
        <v>7</v>
      </c>
      <c r="K4" s="8" t="s">
        <v>491</v>
      </c>
      <c r="L4" s="8"/>
      <c r="M4" s="8"/>
      <c r="N4" s="8"/>
      <c r="O4" s="6"/>
      <c r="P4" s="8"/>
      <c r="Q4" s="8"/>
      <c r="R4" s="8"/>
      <c r="S4" s="8"/>
      <c r="T4" s="8"/>
      <c r="U4" s="8"/>
    </row>
    <row r="5" spans="1:21">
      <c r="A5" s="167"/>
      <c r="B5" s="9" t="s">
        <v>178</v>
      </c>
      <c r="C5" s="7" t="s">
        <v>74</v>
      </c>
      <c r="D5" s="6"/>
      <c r="E5" s="30" t="s">
        <v>223</v>
      </c>
      <c r="F5" s="7">
        <v>3</v>
      </c>
      <c r="G5" s="30" t="s">
        <v>242</v>
      </c>
      <c r="H5" s="33">
        <v>3</v>
      </c>
      <c r="I5" s="35" t="s">
        <v>492</v>
      </c>
      <c r="J5" s="33">
        <v>6</v>
      </c>
      <c r="K5" s="8"/>
      <c r="L5" s="8"/>
      <c r="M5" s="8"/>
      <c r="N5" s="8"/>
      <c r="O5" s="6"/>
      <c r="P5" s="8"/>
      <c r="Q5" s="8"/>
      <c r="R5" s="8"/>
      <c r="S5" s="8"/>
      <c r="T5" s="8"/>
      <c r="U5" s="8"/>
    </row>
    <row r="6" spans="1:21">
      <c r="A6" s="167"/>
      <c r="B6" s="9"/>
      <c r="C6" s="7" t="s">
        <v>493</v>
      </c>
      <c r="D6" s="6"/>
      <c r="E6" s="30" t="s">
        <v>228</v>
      </c>
      <c r="F6" s="7">
        <v>2</v>
      </c>
      <c r="G6" s="30" t="s">
        <v>494</v>
      </c>
      <c r="H6" s="33">
        <v>2</v>
      </c>
      <c r="I6" s="35" t="s">
        <v>235</v>
      </c>
      <c r="J6" s="33">
        <v>5</v>
      </c>
      <c r="K6" s="8"/>
      <c r="L6" s="8"/>
      <c r="M6" s="8"/>
      <c r="N6" s="8"/>
      <c r="O6" s="6"/>
      <c r="P6" s="8"/>
      <c r="Q6" s="8"/>
      <c r="R6" s="8"/>
      <c r="S6" s="8"/>
      <c r="T6" s="8"/>
      <c r="U6" s="8"/>
    </row>
    <row r="7" spans="1:21">
      <c r="A7" s="167"/>
      <c r="B7" s="9"/>
      <c r="C7" s="7"/>
      <c r="D7" s="6"/>
      <c r="E7" s="30" t="s">
        <v>495</v>
      </c>
      <c r="F7" s="7">
        <v>1</v>
      </c>
      <c r="G7" s="30" t="s">
        <v>495</v>
      </c>
      <c r="H7" s="33">
        <v>1</v>
      </c>
      <c r="I7" s="35" t="s">
        <v>219</v>
      </c>
      <c r="J7" s="33">
        <v>4</v>
      </c>
      <c r="K7" s="8"/>
      <c r="L7" s="8"/>
      <c r="M7" s="8"/>
      <c r="N7" s="8"/>
      <c r="O7" s="6"/>
      <c r="P7" s="8"/>
      <c r="Q7" s="8"/>
      <c r="R7" s="8"/>
      <c r="S7" s="8"/>
      <c r="T7" s="8"/>
      <c r="U7" s="8"/>
    </row>
    <row r="8" spans="1:21">
      <c r="A8" s="167"/>
      <c r="B8" s="7"/>
      <c r="C8" s="7"/>
      <c r="D8" s="7"/>
      <c r="E8" s="8"/>
      <c r="F8" s="7"/>
      <c r="G8" s="7"/>
      <c r="H8" s="8"/>
      <c r="I8" s="35" t="s">
        <v>496</v>
      </c>
      <c r="J8" s="33">
        <v>3</v>
      </c>
      <c r="K8" s="8"/>
      <c r="L8" s="8"/>
      <c r="M8" s="8"/>
      <c r="N8" s="8"/>
      <c r="O8" s="8"/>
      <c r="P8" s="8"/>
      <c r="Q8" s="8"/>
      <c r="R8" s="8"/>
      <c r="S8" s="8"/>
      <c r="T8" s="8"/>
      <c r="U8" s="8"/>
    </row>
    <row r="9" spans="1:21">
      <c r="A9" s="167"/>
      <c r="B9" s="7"/>
      <c r="C9" s="7"/>
      <c r="D9" s="7"/>
      <c r="E9" s="8"/>
      <c r="F9" s="7"/>
      <c r="G9" s="7"/>
      <c r="H9" s="8"/>
      <c r="I9" s="35" t="s">
        <v>497</v>
      </c>
      <c r="J9" s="33">
        <v>2</v>
      </c>
      <c r="K9" s="8"/>
      <c r="L9" s="8"/>
      <c r="M9" s="8"/>
      <c r="N9" s="8"/>
      <c r="O9" s="8"/>
      <c r="P9" s="8"/>
      <c r="Q9" s="8"/>
      <c r="R9" s="8"/>
      <c r="S9" s="8"/>
      <c r="T9" s="8"/>
      <c r="U9" s="8"/>
    </row>
    <row r="10" spans="1:21">
      <c r="A10" s="167"/>
      <c r="B10" s="7"/>
      <c r="C10" s="7"/>
      <c r="D10" s="7"/>
      <c r="E10" s="8"/>
      <c r="F10" s="7"/>
      <c r="G10" s="7"/>
      <c r="H10" s="8"/>
      <c r="I10" s="35" t="s">
        <v>224</v>
      </c>
      <c r="J10" s="33">
        <v>1</v>
      </c>
      <c r="K10" s="8"/>
      <c r="L10" s="8"/>
      <c r="M10" s="8"/>
      <c r="N10" s="8"/>
      <c r="O10" s="8"/>
      <c r="P10" s="8"/>
      <c r="Q10" s="8"/>
      <c r="R10" s="8"/>
      <c r="S10" s="8"/>
      <c r="T10" s="8"/>
      <c r="U10" s="8"/>
    </row>
    <row r="11" spans="1:21">
      <c r="A11" s="167"/>
      <c r="B11" s="7"/>
      <c r="C11" s="7"/>
      <c r="D11" s="7"/>
      <c r="E11" s="8"/>
      <c r="F11" s="7"/>
      <c r="G11" s="8"/>
      <c r="H11" s="6"/>
      <c r="I11" s="8"/>
      <c r="J11" s="8"/>
      <c r="K11" s="8"/>
      <c r="L11" s="8"/>
      <c r="M11" s="8"/>
      <c r="N11" s="8"/>
      <c r="O11" s="8"/>
      <c r="P11" s="8"/>
      <c r="Q11" s="8"/>
      <c r="R11" s="8"/>
      <c r="S11" s="8"/>
      <c r="T11" s="8"/>
      <c r="U11" s="8"/>
    </row>
    <row r="12" spans="1:21">
      <c r="A12" s="167"/>
      <c r="B12" s="7"/>
      <c r="C12" s="7"/>
      <c r="D12" s="7"/>
      <c r="E12" s="8"/>
      <c r="F12" s="7"/>
      <c r="G12" s="8"/>
      <c r="H12" s="6"/>
      <c r="I12" s="8"/>
      <c r="J12" s="8"/>
      <c r="K12" s="8"/>
      <c r="L12" s="8"/>
      <c r="M12" s="8"/>
      <c r="N12" s="8"/>
      <c r="O12" s="8"/>
      <c r="P12" s="8"/>
      <c r="Q12" s="8"/>
      <c r="R12" s="8"/>
      <c r="S12" s="8"/>
      <c r="T12" s="8"/>
      <c r="U12" s="8"/>
    </row>
    <row r="13" spans="1:21">
      <c r="A13" s="167"/>
      <c r="B13" s="7"/>
      <c r="C13" s="7"/>
      <c r="D13" s="7"/>
      <c r="E13" s="8"/>
      <c r="F13" s="7"/>
      <c r="G13" s="8"/>
      <c r="H13" s="6"/>
      <c r="I13" s="8"/>
      <c r="J13" s="8"/>
      <c r="K13" s="8"/>
      <c r="L13" s="8"/>
      <c r="M13" s="8"/>
      <c r="N13" s="8"/>
      <c r="O13" s="8"/>
      <c r="P13" s="8"/>
      <c r="Q13" s="8"/>
      <c r="R13" s="8"/>
      <c r="S13" s="8"/>
      <c r="T13" s="8"/>
      <c r="U13" s="8"/>
    </row>
    <row r="14" spans="1:21">
      <c r="A14" s="167"/>
      <c r="B14" s="7"/>
      <c r="C14" s="7"/>
      <c r="D14" s="7"/>
      <c r="E14" s="8"/>
      <c r="F14" s="7"/>
      <c r="G14" s="8"/>
      <c r="H14" s="6"/>
      <c r="I14" s="8"/>
      <c r="J14" s="8"/>
      <c r="K14" s="8"/>
      <c r="L14" s="8"/>
      <c r="M14" s="8"/>
      <c r="N14" s="8"/>
      <c r="O14" s="8"/>
      <c r="P14" s="8"/>
      <c r="Q14" s="8"/>
      <c r="R14" s="8"/>
      <c r="S14" s="8"/>
      <c r="T14" s="8"/>
      <c r="U14" s="8"/>
    </row>
    <row r="15" spans="1:21">
      <c r="A15" s="167"/>
      <c r="B15" s="7"/>
      <c r="C15" s="7"/>
      <c r="D15" s="7"/>
      <c r="E15" s="8"/>
      <c r="F15" s="7"/>
      <c r="G15" s="8"/>
      <c r="H15" s="8"/>
      <c r="I15" s="8"/>
      <c r="J15" s="8"/>
      <c r="K15" s="8"/>
      <c r="L15" s="8"/>
      <c r="M15" s="8"/>
      <c r="N15" s="8"/>
      <c r="O15" s="8"/>
      <c r="P15" s="8"/>
      <c r="Q15" s="8"/>
      <c r="R15" s="8"/>
      <c r="S15" s="8"/>
      <c r="T15" s="8"/>
      <c r="U15" s="8"/>
    </row>
    <row r="16" spans="1:21">
      <c r="A16" s="167"/>
      <c r="B16" s="7"/>
      <c r="C16" s="7"/>
      <c r="D16" s="7"/>
      <c r="E16" s="8"/>
      <c r="F16" s="7"/>
      <c r="G16" s="8"/>
      <c r="H16" s="8"/>
      <c r="I16" s="8"/>
      <c r="J16" s="8"/>
      <c r="K16" s="8"/>
      <c r="L16" s="8"/>
      <c r="M16" s="8"/>
      <c r="N16" s="8"/>
      <c r="O16" s="8"/>
      <c r="P16" s="8"/>
      <c r="Q16" s="8"/>
      <c r="R16" s="8"/>
      <c r="S16" s="8"/>
      <c r="T16" s="8"/>
      <c r="U16" s="8"/>
    </row>
    <row r="17" spans="1:21">
      <c r="A17" s="167"/>
      <c r="B17" s="7"/>
      <c r="C17" s="7"/>
      <c r="D17" s="10"/>
      <c r="E17" s="8"/>
      <c r="F17" s="7"/>
      <c r="G17" s="8"/>
      <c r="H17" s="8"/>
      <c r="I17" s="8"/>
      <c r="J17" s="8"/>
      <c r="K17" s="8"/>
      <c r="L17" s="8"/>
      <c r="M17" s="8"/>
      <c r="N17" s="8"/>
      <c r="O17" s="8"/>
      <c r="P17" s="8"/>
      <c r="Q17" s="8"/>
      <c r="R17" s="8"/>
      <c r="S17" s="8"/>
      <c r="T17" s="8"/>
      <c r="U17" s="8"/>
    </row>
    <row r="18" spans="1:21">
      <c r="A18" s="167"/>
      <c r="B18" s="7"/>
      <c r="C18" s="7"/>
      <c r="D18" s="7"/>
      <c r="E18" s="8"/>
      <c r="F18" s="7"/>
      <c r="G18" s="8"/>
      <c r="H18" s="8"/>
      <c r="I18" s="8"/>
      <c r="J18" s="8"/>
      <c r="K18" s="8"/>
      <c r="L18" s="8"/>
      <c r="M18" s="8"/>
      <c r="N18" s="8"/>
      <c r="O18" s="8"/>
      <c r="P18" s="8"/>
      <c r="Q18" s="8"/>
      <c r="R18" s="8"/>
      <c r="S18" s="8"/>
      <c r="T18" s="8"/>
      <c r="U18" s="8"/>
    </row>
    <row r="19" spans="1:21">
      <c r="A19" s="167"/>
      <c r="B19" s="7"/>
      <c r="C19" s="7"/>
      <c r="D19" s="7"/>
      <c r="E19" s="8"/>
      <c r="F19" s="7"/>
      <c r="G19" s="8"/>
      <c r="H19" s="8"/>
      <c r="I19" s="8"/>
      <c r="J19" s="8"/>
      <c r="K19" s="8"/>
      <c r="L19" s="8"/>
      <c r="M19" s="8"/>
      <c r="N19" s="8"/>
      <c r="O19" s="8"/>
      <c r="P19" s="8"/>
      <c r="Q19" s="8"/>
      <c r="R19" s="8"/>
      <c r="S19" s="8"/>
      <c r="T19" s="8"/>
      <c r="U19" s="8"/>
    </row>
    <row r="20" spans="1:21">
      <c r="A20" s="167"/>
      <c r="B20" s="7"/>
      <c r="C20" s="7"/>
      <c r="D20" s="10"/>
      <c r="E20" s="8"/>
      <c r="F20" s="7"/>
      <c r="G20" s="8"/>
      <c r="H20" s="8"/>
      <c r="I20" s="8"/>
      <c r="J20" s="8"/>
      <c r="K20" s="8"/>
      <c r="L20" s="8"/>
      <c r="M20" s="8"/>
      <c r="N20" s="8"/>
      <c r="O20" s="8"/>
      <c r="P20" s="8"/>
      <c r="Q20" s="8"/>
      <c r="R20" s="8"/>
      <c r="S20" s="8"/>
      <c r="T20" s="8"/>
      <c r="U20" s="8"/>
    </row>
    <row r="21" spans="1:21">
      <c r="A21" s="167"/>
      <c r="B21" s="7"/>
      <c r="C21" s="7"/>
      <c r="D21" s="7"/>
      <c r="E21" s="8"/>
      <c r="F21" s="7"/>
      <c r="G21" s="8"/>
      <c r="H21" s="8"/>
      <c r="I21" s="8"/>
      <c r="J21" s="8"/>
      <c r="K21" s="8"/>
      <c r="L21" s="8"/>
      <c r="M21" s="8"/>
      <c r="N21" s="8"/>
      <c r="O21" s="8"/>
      <c r="P21" s="8"/>
      <c r="Q21" s="8"/>
      <c r="R21" s="8"/>
      <c r="S21" s="8"/>
      <c r="T21" s="8"/>
      <c r="U21" s="8"/>
    </row>
    <row r="22" spans="1:21" ht="15.75" thickBot="1">
      <c r="A22" s="168"/>
      <c r="B22" s="12"/>
      <c r="C22" s="12"/>
      <c r="D22" s="7"/>
      <c r="E22" s="11"/>
      <c r="F22" s="12"/>
      <c r="G22" s="11"/>
      <c r="H22" s="11"/>
      <c r="I22" s="11"/>
      <c r="J22" s="11"/>
      <c r="K22" s="11"/>
      <c r="L22" s="11"/>
      <c r="M22" s="11"/>
      <c r="N22" s="11"/>
      <c r="O22" s="11"/>
      <c r="P22" s="11"/>
      <c r="Q22" s="11"/>
      <c r="R22" s="11"/>
      <c r="S22" s="11"/>
      <c r="T22" s="11"/>
      <c r="U22" s="11"/>
    </row>
    <row r="23" spans="1:21" ht="24.75" thickTop="1" thickBot="1">
      <c r="A23" s="13" t="s">
        <v>498</v>
      </c>
      <c r="B23" s="14"/>
      <c r="C23" s="14"/>
      <c r="D23" s="14"/>
      <c r="E23" s="14"/>
      <c r="F23" s="14"/>
      <c r="G23" s="14"/>
      <c r="H23" s="14"/>
      <c r="I23" s="14"/>
      <c r="J23" s="14"/>
      <c r="K23" s="14"/>
      <c r="L23" s="14"/>
      <c r="M23" s="14"/>
      <c r="N23" s="14"/>
      <c r="O23" s="14"/>
      <c r="P23" s="14"/>
      <c r="Q23" s="14"/>
      <c r="R23" s="14"/>
      <c r="S23" s="14"/>
      <c r="T23" s="14"/>
      <c r="U23" s="15"/>
    </row>
    <row r="24" spans="1:21" ht="15.75" thickTop="1"/>
  </sheetData>
  <mergeCells count="1">
    <mergeCell ref="A3:A22"/>
  </mergeCells>
  <phoneticPr fontId="13" type="noConversion"/>
  <dataValidations count="20">
    <dataValidation type="list" allowBlank="1" showInputMessage="1" showErrorMessage="1" sqref="U23" xr:uid="{00000000-0002-0000-0500-000000000000}">
      <formula1>Lookup20</formula1>
    </dataValidation>
    <dataValidation type="list" allowBlank="1" showInputMessage="1" showErrorMessage="1" sqref="T23" xr:uid="{00000000-0002-0000-0500-000001000000}">
      <formula1>Lookup19</formula1>
    </dataValidation>
    <dataValidation type="list" allowBlank="1" showInputMessage="1" showErrorMessage="1" sqref="S23" xr:uid="{00000000-0002-0000-0500-000002000000}">
      <formula1>Lookup18</formula1>
    </dataValidation>
    <dataValidation type="list" allowBlank="1" showInputMessage="1" showErrorMessage="1" sqref="R23" xr:uid="{00000000-0002-0000-0500-000003000000}">
      <formula1>Lookup17</formula1>
    </dataValidation>
    <dataValidation type="list" allowBlank="1" showInputMessage="1" showErrorMessage="1" sqref="Q23" xr:uid="{00000000-0002-0000-0500-000004000000}">
      <formula1>Lookup16</formula1>
    </dataValidation>
    <dataValidation type="list" allowBlank="1" showInputMessage="1" showErrorMessage="1" sqref="P23" xr:uid="{00000000-0002-0000-0500-000005000000}">
      <formula1>Lookup15</formula1>
    </dataValidation>
    <dataValidation type="list" allowBlank="1" showInputMessage="1" showErrorMessage="1" sqref="O23" xr:uid="{00000000-0002-0000-0500-000006000000}">
      <formula1>Lookup14</formula1>
    </dataValidation>
    <dataValidation type="list" allowBlank="1" showInputMessage="1" showErrorMessage="1" sqref="N23" xr:uid="{00000000-0002-0000-0500-000007000000}">
      <formula1>Lookup13</formula1>
    </dataValidation>
    <dataValidation type="list" allowBlank="1" showInputMessage="1" showErrorMessage="1" sqref="M23" xr:uid="{00000000-0002-0000-0500-000008000000}">
      <formula1>Lookup12</formula1>
    </dataValidation>
    <dataValidation type="list" allowBlank="1" showInputMessage="1" showErrorMessage="1" sqref="L23" xr:uid="{00000000-0002-0000-0500-000009000000}">
      <formula1>Lookup11</formula1>
    </dataValidation>
    <dataValidation type="list" allowBlank="1" showInputMessage="1" showErrorMessage="1" sqref="K23" xr:uid="{00000000-0002-0000-0500-00000A000000}">
      <formula1>Lookup10</formula1>
    </dataValidation>
    <dataValidation type="list" allowBlank="1" showInputMessage="1" showErrorMessage="1" sqref="J23" xr:uid="{00000000-0002-0000-0500-00000B000000}">
      <formula1>Lookup9</formula1>
    </dataValidation>
    <dataValidation type="list" allowBlank="1" showInputMessage="1" showErrorMessage="1" sqref="I23" xr:uid="{00000000-0002-0000-0500-00000C000000}">
      <formula1>Lookup8</formula1>
    </dataValidation>
    <dataValidation type="list" allowBlank="1" showInputMessage="1" showErrorMessage="1" sqref="H23" xr:uid="{00000000-0002-0000-0500-00000D000000}">
      <formula1>Lookup7</formula1>
    </dataValidation>
    <dataValidation type="list" allowBlank="1" showInputMessage="1" showErrorMessage="1" sqref="G23" xr:uid="{00000000-0002-0000-0500-00000E000000}">
      <formula1>Lookup6</formula1>
    </dataValidation>
    <dataValidation type="list" allowBlank="1" showInputMessage="1" showErrorMessage="1" sqref="F23" xr:uid="{00000000-0002-0000-0500-00000F000000}">
      <formula1>Lookup5</formula1>
    </dataValidation>
    <dataValidation type="list" allowBlank="1" showInputMessage="1" showErrorMessage="1" sqref="E23" xr:uid="{00000000-0002-0000-0500-000010000000}">
      <formula1>Lookup4</formula1>
    </dataValidation>
    <dataValidation type="list" allowBlank="1" showInputMessage="1" showErrorMessage="1" sqref="D23" xr:uid="{00000000-0002-0000-0500-000011000000}">
      <formula1>Lookup3</formula1>
    </dataValidation>
    <dataValidation type="list" allowBlank="1" showInputMessage="1" showErrorMessage="1" sqref="C23" xr:uid="{00000000-0002-0000-0500-000012000000}">
      <formula1>Lookup2</formula1>
    </dataValidation>
    <dataValidation type="list" allowBlank="1" showInputMessage="1" showErrorMessage="1" sqref="B23" xr:uid="{00000000-0002-0000-0500-000013000000}">
      <formula1>Lookup1</formula1>
    </dataValidation>
  </dataValidation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E6EADB7FADBDD46A137E2529A6AB338" ma:contentTypeVersion="19" ma:contentTypeDescription="Create a new document." ma:contentTypeScope="" ma:versionID="e8b19eb315b7dfecefc5d70e384659ad">
  <xsd:schema xmlns:xsd="http://www.w3.org/2001/XMLSchema" xmlns:xs="http://www.w3.org/2001/XMLSchema" xmlns:p="http://schemas.microsoft.com/office/2006/metadata/properties" xmlns:ns1="http://schemas.microsoft.com/sharepoint/v3" xmlns:ns2="87480d1a-c80c-477c-9f53-d14d87a45f08" xmlns:ns3="beb00d12-24e9-4294-9648-655a57296783" targetNamespace="http://schemas.microsoft.com/office/2006/metadata/properties" ma:root="true" ma:fieldsID="d446c679f79e6d7ce6739c706be183f1" ns1:_="" ns2:_="" ns3:_="">
    <xsd:import namespace="http://schemas.microsoft.com/sharepoint/v3"/>
    <xsd:import namespace="87480d1a-c80c-477c-9f53-d14d87a45f08"/>
    <xsd:import namespace="beb00d12-24e9-4294-9648-655a57296783"/>
    <xsd:element name="properties">
      <xsd:complexType>
        <xsd:sequence>
          <xsd:element name="documentManagement">
            <xsd:complexType>
              <xsd:all>
                <xsd:element ref="ns2:Owner"/>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3:SharedWithUsers" minOccurs="0"/>
                <xsd:element ref="ns3:SharedWithDetails" minOccurs="0"/>
                <xsd:element ref="ns2:MediaServiceDateTaken" minOccurs="0"/>
                <xsd:element ref="ns2:MediaServiceLocation" minOccurs="0"/>
                <xsd:element ref="ns2:_Flow_SignoffStatus" minOccurs="0"/>
                <xsd:element ref="ns1:_ip_UnifiedCompliancePolicyProperties" minOccurs="0"/>
                <xsd:element ref="ns1:_ip_UnifiedCompliancePolicyUIAction" minOccurs="0"/>
                <xsd:element ref="ns2:ueu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2" nillable="true" ma:displayName="Unified Compliance Policy Properties" ma:hidden="true" ma:internalName="_ip_UnifiedCompliancePolicyProperties">
      <xsd:simpleType>
        <xsd:restriction base="dms:Note"/>
      </xsd:simpleType>
    </xsd:element>
    <xsd:element name="_ip_UnifiedCompliancePolicyUIAction" ma:index="23"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7480d1a-c80c-477c-9f53-d14d87a45f08" elementFormDefault="qualified">
    <xsd:import namespace="http://schemas.microsoft.com/office/2006/documentManagement/types"/>
    <xsd:import namespace="http://schemas.microsoft.com/office/infopath/2007/PartnerControls"/>
    <xsd:element name="Owner" ma:index="8" ma:displayName="Owner" ma:description="Designated Owner of the Folder" ma:list="UserInfo" ma:SearchPeopleOnly="false" ma:SharePointGroup="0" ma:internalName="Owner" ma:showField="ImnName">
      <xsd:complexType>
        <xsd:complexContent>
          <xsd:extension base="dms:User">
            <xsd:sequence>
              <xsd:element name="UserInfo" minOccurs="0" maxOccurs="unbounded">
                <xsd:complexType>
                  <xsd:sequence>
                    <xsd:element name="DisplayName" type="xsd:string" minOccurs="0"/>
                    <xsd:element name="AccountId" type="dms:UserId" minOccurs="0"/>
                    <xsd:element name="AccountType" type="xsd:string" minOccurs="0"/>
                  </xsd:sequence>
                </xsd:complexType>
              </xsd:element>
            </xsd:sequence>
          </xsd:extension>
        </xsd:complexContent>
      </xsd:complexType>
    </xsd:element>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DateTaken" ma:index="19" nillable="true" ma:displayName="MediaServiceDateTaken" ma:hidden="true" ma:internalName="MediaServiceDateTaken" ma:readOnly="true">
      <xsd:simpleType>
        <xsd:restriction base="dms:Text"/>
      </xsd:simpleType>
    </xsd:element>
    <xsd:element name="MediaServiceLocation" ma:index="20" nillable="true" ma:displayName="Location" ma:internalName="MediaServiceLocation" ma:readOnly="true">
      <xsd:simpleType>
        <xsd:restriction base="dms:Text"/>
      </xsd:simpleType>
    </xsd:element>
    <xsd:element name="_Flow_SignoffStatus" ma:index="21" nillable="true" ma:displayName="Sign-off status" ma:internalName="Sign_x002d_off_x0020_status">
      <xsd:simpleType>
        <xsd:restriction base="dms:Text"/>
      </xsd:simpleType>
    </xsd:element>
    <xsd:element name="ueuy" ma:index="24" nillable="true" ma:displayName="Text" ma:internalName="ueu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eb00d12-24e9-4294-9648-655a57296783"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ueuy xmlns="87480d1a-c80c-477c-9f53-d14d87a45f08" xsi:nil="true"/>
    <Owner xmlns="87480d1a-c80c-477c-9f53-d14d87a45f08">
      <UserInfo>
        <DisplayName>Andrew Newman</DisplayName>
        <AccountId>16</AccountId>
        <AccountType/>
      </UserInfo>
    </Owner>
    <_ip_UnifiedCompliancePolicyProperties xmlns="http://schemas.microsoft.com/sharepoint/v3" xsi:nil="true"/>
    <_Flow_SignoffStatus xmlns="87480d1a-c80c-477c-9f53-d14d87a45f08" xsi:nil="true"/>
    <SharedWithUsers xmlns="beb00d12-24e9-4294-9648-655a57296783">
      <UserInfo>
        <DisplayName>Richard Moss</DisplayName>
        <AccountId>3636</AccountId>
        <AccountType/>
      </UserInfo>
      <UserInfo>
        <DisplayName>Richard Parker</DisplayName>
        <AccountId>3587</AccountId>
        <AccountType/>
      </UserInfo>
    </SharedWithUsers>
  </documentManagement>
</p:properties>
</file>

<file path=customXml/itemProps1.xml><?xml version="1.0" encoding="utf-8"?>
<ds:datastoreItem xmlns:ds="http://schemas.openxmlformats.org/officeDocument/2006/customXml" ds:itemID="{33660A06-1BEA-45C8-B851-F99683534F19}"/>
</file>

<file path=customXml/itemProps2.xml><?xml version="1.0" encoding="utf-8"?>
<ds:datastoreItem xmlns:ds="http://schemas.openxmlformats.org/officeDocument/2006/customXml" ds:itemID="{F0211909-E28A-4670-9117-69B0006400A9}"/>
</file>

<file path=customXml/itemProps3.xml><?xml version="1.0" encoding="utf-8"?>
<ds:datastoreItem xmlns:ds="http://schemas.openxmlformats.org/officeDocument/2006/customXml" ds:itemID="{EF2A8ACC-5C07-4B71-BE0A-0F9DA809439A}"/>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John Carlin</dc:creator>
  <cp:keywords/>
  <dc:description/>
  <cp:lastModifiedBy>Lauren Campbell</cp:lastModifiedBy>
  <cp:revision/>
  <dcterms:created xsi:type="dcterms:W3CDTF">2020-09-02T08:50:13Z</dcterms:created>
  <dcterms:modified xsi:type="dcterms:W3CDTF">2021-05-27T10:33:41Z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486c49af-ac1a-4053-b229-e8a3ec963279</vt:lpwstr>
  </property>
  <property fmtid="{D5CDD505-2E9C-101B-9397-08002B2CF9AE}" pid="3" name="ContentTypeId">
    <vt:lpwstr>0x010100CE6EADB7FADBDD46A137E2529A6AB338</vt:lpwstr>
  </property>
</Properties>
</file>