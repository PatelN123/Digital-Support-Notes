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cfeorguk.sharepoint.com/sites/TQ/Shared Documents/Development/Digital Support Services/ADT/4. Milestone 3 Development/2b. OS - Digital Support/Post MS 3/"/>
    </mc:Choice>
  </mc:AlternateContent>
  <xr:revisionPtr revIDLastSave="46" documentId="8_{2E984DD5-FBDE-4995-B28E-C34012ADC2A7}" xr6:coauthVersionLast="45" xr6:coauthVersionMax="45" xr10:uidLastSave="{E4C7B42A-74E3-443A-A564-9A941FEE23D8}"/>
  <bookViews>
    <workbookView xWindow="0" yWindow="390" windowWidth="28800" windowHeight="15255" tabRatio="798" firstSheet="3" activeTab="3" xr2:uid="{D7DDA39F-247B-4471-8F7B-97F947A0EBE5}"/>
  </bookViews>
  <sheets>
    <sheet name="INSTRUCTIONS" sheetId="7" r:id="rId1"/>
    <sheet name="1 - Infrastructure Status Log" sheetId="11" r:id="rId2"/>
    <sheet name="2 - Penetration Test Remediati" sheetId="8" r:id="rId3"/>
    <sheet name="3 - Test Plan" sheetId="9" r:id="rId4"/>
    <sheet name="4 - Test Log" sheetId="10" r:id="rId5"/>
    <sheet name="5 - Equipment List" sheetId="12" r:id="rId6"/>
    <sheet name="Lookup" sheetId="5" r:id="rId7"/>
  </sheets>
  <externalReferences>
    <externalReference r:id="rId8"/>
  </externalReferences>
  <definedNames>
    <definedName name="Lookup1">OFFSET(Lookup!$B$3,0,0,COUNTA(Lookup!$B$3:$B$22),1)</definedName>
    <definedName name="Lookup10">OFFSET(Lookup!$K$3,0,0,COUNTA(Lookup!$K$3:$K$22),1)</definedName>
    <definedName name="Lookup11">OFFSET(Lookup!$L$3,0,0,COUNTA(Lookup!$L$3:$L$22),1)</definedName>
    <definedName name="Lookup12">OFFSET(Lookup!$M$3,0,0,COUNTA(Lookup!$M$3:$M$22),1)</definedName>
    <definedName name="Lookup13">OFFSET(Lookup!$N$3,0,0,COUNTA(Lookup!$N$3:$N$22),1)</definedName>
    <definedName name="Lookup14">OFFSET(Lookup!$O$3,0,0,COUNTA(Lookup!$O$3:$O$22),1)</definedName>
    <definedName name="Lookup15">OFFSET(Lookup!$P$3,0,0,COUNTA(Lookup!$P$3:$P$22),1)</definedName>
    <definedName name="Lookup16">OFFSET(Lookup!$Q$3,0,0,COUNTA(Lookup!$Q$3:$Q$22),1)</definedName>
    <definedName name="Lookup17">OFFSET(Lookup!$R$3,0,0,COUNTA(Lookup!$R$3:$R$22),1)</definedName>
    <definedName name="Lookup18">OFFSET(Lookup!$S$3,0,0,COUNTA(Lookup!$S$3:$S$22),1)</definedName>
    <definedName name="Lookup19">OFFSET(Lookup!$T$3,0,0,COUNTA(Lookup!$T$3:$T$22),1)</definedName>
    <definedName name="Lookup2">OFFSET(Lookup!$C$3,0,0,COUNTA(Lookup!$C$3:$C$22),1)</definedName>
    <definedName name="Lookup20">OFFSET(Lookup!$U$3,0,0,COUNTA(Lookup!$U$3:$U$22),1)</definedName>
    <definedName name="Lookup3">OFFSET(Lookup!$D$3,0,0,COUNTA(Lookup!$D$3:$D$22),1)</definedName>
    <definedName name="Lookup4">OFFSET(Lookup!$E$3,0,0,COUNTA(Lookup!$E$3:$E$22),1)</definedName>
    <definedName name="Lookup5">OFFSET(Lookup!$F$3,0,0,COUNTA(Lookup!$F$3:$F$22),1)</definedName>
    <definedName name="Lookup6">OFFSET(Lookup!$G$3,0,0,COUNTA(Lookup!$G$3:$G$22),1)</definedName>
    <definedName name="Lookup7">OFFSET(Lookup!$H$3,0,0,COUNTA(Lookup!$H$3:$H$22),1)</definedName>
    <definedName name="Lookup8">OFFSET(Lookup!$I$3,0,0,COUNTA(Lookup!$I$3:$I$22),1)</definedName>
    <definedName name="Lookup9">OFFSET(Lookup!$J$3,0,0,COUNTA(Lookup!$J$3:$J$22),1)</definedName>
    <definedName name="Type">[1]Lookup!$A$2:$A$5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" i="10" l="1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B1" i="10"/>
  <c r="B8" i="8" l="1"/>
  <c r="B7" i="8"/>
  <c r="D6" i="8"/>
  <c r="B6" i="8"/>
  <c r="D5" i="8"/>
  <c r="B5" i="8"/>
  <c r="D4" i="8"/>
  <c r="B4" i="8"/>
  <c r="D3" i="8"/>
  <c r="B3" i="8"/>
  <c r="D2" i="8"/>
  <c r="B2" i="8"/>
  <c r="B9" i="8" l="1"/>
  <c r="D7" i="8"/>
</calcChain>
</file>

<file path=xl/sharedStrings.xml><?xml version="1.0" encoding="utf-8"?>
<sst xmlns="http://schemas.openxmlformats.org/spreadsheetml/2006/main" count="1180" uniqueCount="484">
  <si>
    <t xml:space="preserve">Workbook ID: </t>
  </si>
  <si>
    <t>DSS-0009-01</t>
  </si>
  <si>
    <t xml:space="preserve">Student First Name: </t>
  </si>
  <si>
    <t xml:space="preserve">Student Surname: </t>
  </si>
  <si>
    <t xml:space="preserve">Student ID: </t>
  </si>
  <si>
    <t>Device Name</t>
  </si>
  <si>
    <t>Type</t>
  </si>
  <si>
    <t>Location</t>
  </si>
  <si>
    <t>Status</t>
  </si>
  <si>
    <t>Assigned to</t>
  </si>
  <si>
    <t>Authorise by</t>
  </si>
  <si>
    <t>Last Updated</t>
  </si>
  <si>
    <t>State</t>
  </si>
  <si>
    <t>Notes</t>
  </si>
  <si>
    <t>WS001</t>
  </si>
  <si>
    <t>Physical</t>
  </si>
  <si>
    <t>Example line</t>
  </si>
  <si>
    <t>Amber</t>
  </si>
  <si>
    <t>J. Smith</t>
  </si>
  <si>
    <t>S. John</t>
  </si>
  <si>
    <t>Connected</t>
  </si>
  <si>
    <t>Action Owner</t>
  </si>
  <si>
    <t>Total Actions</t>
  </si>
  <si>
    <t>CVSS Ratings Summary</t>
  </si>
  <si>
    <t>Total</t>
  </si>
  <si>
    <t>Management</t>
  </si>
  <si>
    <t>Critical</t>
  </si>
  <si>
    <t>Networking</t>
  </si>
  <si>
    <t>High</t>
  </si>
  <si>
    <t>Server and Storage</t>
  </si>
  <si>
    <t>Medium</t>
  </si>
  <si>
    <t>Security</t>
  </si>
  <si>
    <t>Low</t>
  </si>
  <si>
    <t>Area 1</t>
  </si>
  <si>
    <t>Information</t>
  </si>
  <si>
    <t>Area 2</t>
  </si>
  <si>
    <t>Total:</t>
  </si>
  <si>
    <t>Area 3</t>
  </si>
  <si>
    <t xml:space="preserve">TOTAL: </t>
  </si>
  <si>
    <t>Ref</t>
  </si>
  <si>
    <t>Vulnerability Description</t>
  </si>
  <si>
    <t>Action/Comment</t>
  </si>
  <si>
    <t>CVVS Rating</t>
  </si>
  <si>
    <t>CVSS Score</t>
  </si>
  <si>
    <t>Escalate to RAID</t>
  </si>
  <si>
    <t>RAID Ref</t>
  </si>
  <si>
    <t>Deadline</t>
  </si>
  <si>
    <t>Comments</t>
  </si>
  <si>
    <t>Vulnerability 1</t>
  </si>
  <si>
    <t>Action1</t>
  </si>
  <si>
    <t>Open</t>
  </si>
  <si>
    <t>Desktop Support</t>
  </si>
  <si>
    <t>Yes</t>
  </si>
  <si>
    <t>R1</t>
  </si>
  <si>
    <t>Example - delete before completing</t>
  </si>
  <si>
    <t>ID</t>
  </si>
  <si>
    <t>Area Name</t>
  </si>
  <si>
    <t>Area 4</t>
  </si>
  <si>
    <t>Area 5</t>
  </si>
  <si>
    <t>Area 6</t>
  </si>
  <si>
    <t>Area 7</t>
  </si>
  <si>
    <t>Area 8</t>
  </si>
  <si>
    <t>Area 9</t>
  </si>
  <si>
    <t>Area 10</t>
  </si>
  <si>
    <t>Area 11</t>
  </si>
  <si>
    <t>Area 12</t>
  </si>
  <si>
    <t>Area 13</t>
  </si>
  <si>
    <t>Area 14</t>
  </si>
  <si>
    <t>Area 15</t>
  </si>
  <si>
    <t>Area 16</t>
  </si>
  <si>
    <t>Area 17</t>
  </si>
  <si>
    <t>Area 18</t>
  </si>
  <si>
    <t>Area 19</t>
  </si>
  <si>
    <t>Area 20</t>
  </si>
  <si>
    <t>PC1</t>
  </si>
  <si>
    <t>Fail</t>
  </si>
  <si>
    <t>Vendor</t>
  </si>
  <si>
    <t>Name</t>
  </si>
  <si>
    <t>Serial No.</t>
  </si>
  <si>
    <t>MAC Address</t>
  </si>
  <si>
    <t>IP Address</t>
  </si>
  <si>
    <t>Workstation</t>
  </si>
  <si>
    <t>Dell</t>
  </si>
  <si>
    <t>ABC12345</t>
  </si>
  <si>
    <t>df:76:8f:c8:00:be</t>
  </si>
  <si>
    <t>N/A DHCP Assigned</t>
  </si>
  <si>
    <t>Green</t>
  </si>
  <si>
    <t>NOTE, status has the following values and meanings</t>
  </si>
  <si>
    <t>WS002</t>
  </si>
  <si>
    <t>ABC12346</t>
  </si>
  <si>
    <t>08:99:8d:e0:7f:ad</t>
  </si>
  <si>
    <t>Red</t>
  </si>
  <si>
    <t>Critical isses(s)</t>
  </si>
  <si>
    <t>WS003</t>
  </si>
  <si>
    <t>ABC12347</t>
  </si>
  <si>
    <t>17:a1:1c:4a:b2:76</t>
  </si>
  <si>
    <t>Some Issues</t>
  </si>
  <si>
    <t>WS004</t>
  </si>
  <si>
    <t>ABC12348</t>
  </si>
  <si>
    <t>d2:59:c3:cc:fd:9c</t>
  </si>
  <si>
    <t>No Issues</t>
  </si>
  <si>
    <t>WS005</t>
  </si>
  <si>
    <t>ABC12349</t>
  </si>
  <si>
    <t>8e:aa:3e:de:ed:0d</t>
  </si>
  <si>
    <t>WS006</t>
  </si>
  <si>
    <t>ABC12350</t>
  </si>
  <si>
    <t>b2:f8:94:5c:8d:30</t>
  </si>
  <si>
    <t>WS007</t>
  </si>
  <si>
    <t>ABC12351</t>
  </si>
  <si>
    <t>0b:5d:17:35:9f:cb</t>
  </si>
  <si>
    <t>WS008</t>
  </si>
  <si>
    <t>ABC12352</t>
  </si>
  <si>
    <t>53:dd:ee:30:16:e6</t>
  </si>
  <si>
    <t>WS009</t>
  </si>
  <si>
    <t>ABC12353</t>
  </si>
  <si>
    <t>8d:f8:c6:9f:fd:21</t>
  </si>
  <si>
    <t>WS010</t>
  </si>
  <si>
    <t>ABC12354</t>
  </si>
  <si>
    <t>e5:8c:ab:04:36:c9</t>
  </si>
  <si>
    <t>WS011</t>
  </si>
  <si>
    <t>ABC12355</t>
  </si>
  <si>
    <t>8b:09:02:b9:10:68</t>
  </si>
  <si>
    <t>WS012</t>
  </si>
  <si>
    <t>ABC12356</t>
  </si>
  <si>
    <t>ed:1b:e6:89:79:b9</t>
  </si>
  <si>
    <t>WS013</t>
  </si>
  <si>
    <t>ABC12357</t>
  </si>
  <si>
    <t>2f:20:74:9f:8d:2e</t>
  </si>
  <si>
    <t>WS014</t>
  </si>
  <si>
    <t>ABC12358</t>
  </si>
  <si>
    <t>00:2a:ce:fb:aa:06</t>
  </si>
  <si>
    <t>Disconnected</t>
  </si>
  <si>
    <t>WS015</t>
  </si>
  <si>
    <t>ABC12359</t>
  </si>
  <si>
    <t>dc:a2:0b:be:23:87</t>
  </si>
  <si>
    <t>WS016</t>
  </si>
  <si>
    <t>ABC12360</t>
  </si>
  <si>
    <t>b8:7f:8a:98:a5:60</t>
  </si>
  <si>
    <t>WS017</t>
  </si>
  <si>
    <t>ABC12361</t>
  </si>
  <si>
    <t>ab:8e:7c:1b:d5:cf</t>
  </si>
  <si>
    <t>WS018</t>
  </si>
  <si>
    <t>ABC12362</t>
  </si>
  <si>
    <t>5e:47:2d:78:05:d5</t>
  </si>
  <si>
    <t>WS019</t>
  </si>
  <si>
    <t>ABC12363</t>
  </si>
  <si>
    <t>07:69:d3:ee:2a:dd</t>
  </si>
  <si>
    <t>WS020</t>
  </si>
  <si>
    <t>ABC12364</t>
  </si>
  <si>
    <t>3d:2a:bc:b1:ea:76</t>
  </si>
  <si>
    <t>WS021</t>
  </si>
  <si>
    <t>ABC12365</t>
  </si>
  <si>
    <t>56:1e:4d:b4:45:93</t>
  </si>
  <si>
    <t>WS022</t>
  </si>
  <si>
    <t>ABC12366</t>
  </si>
  <si>
    <t>c5:51:6d:67:ed:1f</t>
  </si>
  <si>
    <t>WS023</t>
  </si>
  <si>
    <t>ABC12367</t>
  </si>
  <si>
    <t>4a:1f:fb:c6:c8:a3</t>
  </si>
  <si>
    <t>WS024</t>
  </si>
  <si>
    <t>ABC12368</t>
  </si>
  <si>
    <t>4a:04:e6:02:e1:57</t>
  </si>
  <si>
    <t>WS025</t>
  </si>
  <si>
    <t>ABC12369</t>
  </si>
  <si>
    <t>d2:85:2d:e0:f8:26</t>
  </si>
  <si>
    <t>WS026</t>
  </si>
  <si>
    <t>ABC12370</t>
  </si>
  <si>
    <t>0b:3d:e1:c5:ef:5a</t>
  </si>
  <si>
    <t>WS027</t>
  </si>
  <si>
    <t>ABC12371</t>
  </si>
  <si>
    <t>53:0a:79:4b:50:7f</t>
  </si>
  <si>
    <t>WS028</t>
  </si>
  <si>
    <t>ABC12372</t>
  </si>
  <si>
    <t>a7:bf:1f:a2:8a:39</t>
  </si>
  <si>
    <t>WS029</t>
  </si>
  <si>
    <t>ABC12373</t>
  </si>
  <si>
    <t>48:dd:b3:f4:43:b5</t>
  </si>
  <si>
    <t>WS030</t>
  </si>
  <si>
    <t>ABC12374</t>
  </si>
  <si>
    <t>7c:17:c1:58:f6:24</t>
  </si>
  <si>
    <t>WS031</t>
  </si>
  <si>
    <t>ABC12375</t>
  </si>
  <si>
    <t>31:19:23:fc:e0:5f</t>
  </si>
  <si>
    <t>WS032</t>
  </si>
  <si>
    <t>ABC12376</t>
  </si>
  <si>
    <t>bc:98:1d:ea:75:56</t>
  </si>
  <si>
    <t>WS033</t>
  </si>
  <si>
    <t>ABC12377</t>
  </si>
  <si>
    <t>50:11:9d:b0:c6:e2</t>
  </si>
  <si>
    <t>WS034</t>
  </si>
  <si>
    <t>ABC12378</t>
  </si>
  <si>
    <t>76:94:60:6b:62:12</t>
  </si>
  <si>
    <t>WS035</t>
  </si>
  <si>
    <t>ABC12379</t>
  </si>
  <si>
    <t>93:1b:42:19:a5:b5</t>
  </si>
  <si>
    <t>WS036</t>
  </si>
  <si>
    <t>ABC12380</t>
  </si>
  <si>
    <t>5b:46:28:6d:bd:ac</t>
  </si>
  <si>
    <t>WS037</t>
  </si>
  <si>
    <t>ABC12381</t>
  </si>
  <si>
    <t>0a:76:15:b7:d0:f7</t>
  </si>
  <si>
    <t>WS038</t>
  </si>
  <si>
    <t>ABC12382</t>
  </si>
  <si>
    <t>4a:58:a9:43:31:68</t>
  </si>
  <si>
    <t>WS039</t>
  </si>
  <si>
    <t>ABC12383</t>
  </si>
  <si>
    <t>0b:d2:0a:e3:ee:89</t>
  </si>
  <si>
    <t>WS040</t>
  </si>
  <si>
    <t>ABC12384</t>
  </si>
  <si>
    <t>41:e5:f0:43:d8:3a</t>
  </si>
  <si>
    <t>WS041</t>
  </si>
  <si>
    <t>ABC12385</t>
  </si>
  <si>
    <t>3e:e4:c9:0e:03:e6</t>
  </si>
  <si>
    <t>WS042</t>
  </si>
  <si>
    <t>ABC12386</t>
  </si>
  <si>
    <t>a4:73:4c:91:61:65</t>
  </si>
  <si>
    <t>WS043</t>
  </si>
  <si>
    <t>ABC12387</t>
  </si>
  <si>
    <t>cc:2b:5d:4a:97:73</t>
  </si>
  <si>
    <t>WS044</t>
  </si>
  <si>
    <t>ABC12388</t>
  </si>
  <si>
    <t>57:12:12:bf:c5:5b</t>
  </si>
  <si>
    <t>WS045</t>
  </si>
  <si>
    <t>ABC12389</t>
  </si>
  <si>
    <t>c8:ef:f4:80:54:3b</t>
  </si>
  <si>
    <t>WS046</t>
  </si>
  <si>
    <t>ABC12390</t>
  </si>
  <si>
    <t>68:04:d5:a7:c1:c3</t>
  </si>
  <si>
    <t>WS047</t>
  </si>
  <si>
    <t>ABC12391</t>
  </si>
  <si>
    <t>05:d4:d5:0b:7b:fc</t>
  </si>
  <si>
    <t>WS048</t>
  </si>
  <si>
    <t>ABC12392</t>
  </si>
  <si>
    <t>6b:a3:51:e4:ba:af</t>
  </si>
  <si>
    <t>WS049</t>
  </si>
  <si>
    <t>ABC12393</t>
  </si>
  <si>
    <t>9a:4e:ed:fd:3f:8b</t>
  </si>
  <si>
    <t>WS050</t>
  </si>
  <si>
    <t>ABC12394</t>
  </si>
  <si>
    <t>21:d3:5b:af:99:3e</t>
  </si>
  <si>
    <t>WS051</t>
  </si>
  <si>
    <t>ABC12395</t>
  </si>
  <si>
    <t>e9:da:08:fe:55:72</t>
  </si>
  <si>
    <t>WS052</t>
  </si>
  <si>
    <t>ABC12396</t>
  </si>
  <si>
    <t>1e:15:84:a0:dd:b3</t>
  </si>
  <si>
    <t>WS053</t>
  </si>
  <si>
    <t>ABC12397</t>
  </si>
  <si>
    <t>ca:3c:8a:3d:1e:f6</t>
  </si>
  <si>
    <t>WS054</t>
  </si>
  <si>
    <t>ABC12398</t>
  </si>
  <si>
    <t>2e:3d:5f:02:89:a0</t>
  </si>
  <si>
    <t>WS055</t>
  </si>
  <si>
    <t>ABC12399</t>
  </si>
  <si>
    <t>89:71:e8:17:aa:95</t>
  </si>
  <si>
    <t>WS056</t>
  </si>
  <si>
    <t>ABC12400</t>
  </si>
  <si>
    <t>22:c2:f8:3c:8c:d2</t>
  </si>
  <si>
    <t>WS057</t>
  </si>
  <si>
    <t>ABC12401</t>
  </si>
  <si>
    <t>76:85:ad:53:8c:2b</t>
  </si>
  <si>
    <t>WS058</t>
  </si>
  <si>
    <t>ABC12402</t>
  </si>
  <si>
    <t>15:4d:e0:93:3f:c5</t>
  </si>
  <si>
    <t>WS059</t>
  </si>
  <si>
    <t>ABC12403</t>
  </si>
  <si>
    <t>cb:8c:f0:05:8b:ae</t>
  </si>
  <si>
    <t>WS060</t>
  </si>
  <si>
    <t>ABC12404</t>
  </si>
  <si>
    <t>48:73:58:ee:94:19</t>
  </si>
  <si>
    <t>WS061</t>
  </si>
  <si>
    <t>ABC12405</t>
  </si>
  <si>
    <t>03:f2:20:7d:d3:ac</t>
  </si>
  <si>
    <t>WS062</t>
  </si>
  <si>
    <t>ABC12406</t>
  </si>
  <si>
    <t>03:89:6c:fd:cc:d9</t>
  </si>
  <si>
    <t>WS063</t>
  </si>
  <si>
    <t>ABC12407</t>
  </si>
  <si>
    <t>11:e7:c7:5e:eb:02</t>
  </si>
  <si>
    <t>WS064</t>
  </si>
  <si>
    <t>ABC12408</t>
  </si>
  <si>
    <t>b3:2d:69:7d:10:02</t>
  </si>
  <si>
    <t>WS065</t>
  </si>
  <si>
    <t>ABC12409</t>
  </si>
  <si>
    <t>2d:9e:19:06:c3:d3</t>
  </si>
  <si>
    <t>WS066</t>
  </si>
  <si>
    <t>ABC12410</t>
  </si>
  <si>
    <t>7d:d4:a4:5a:ca:0f</t>
  </si>
  <si>
    <t>WS067</t>
  </si>
  <si>
    <t>ABC12411</t>
  </si>
  <si>
    <t>fd:09:6f:a1:33:e3</t>
  </si>
  <si>
    <t>WS068</t>
  </si>
  <si>
    <t>ABC12412</t>
  </si>
  <si>
    <t>77:ac:c8:9a:82:d7</t>
  </si>
  <si>
    <t>WS069</t>
  </si>
  <si>
    <t>ABC12413</t>
  </si>
  <si>
    <t>e1:dd:26:38:72:41</t>
  </si>
  <si>
    <t>WS070</t>
  </si>
  <si>
    <t>ABC12414</t>
  </si>
  <si>
    <t>12:0f:c5:e3:18:82</t>
  </si>
  <si>
    <t>WS071</t>
  </si>
  <si>
    <t>ABC12415</t>
  </si>
  <si>
    <t>4e:89:fb:0d:35:bf</t>
  </si>
  <si>
    <t>WS072</t>
  </si>
  <si>
    <t>ABC12416</t>
  </si>
  <si>
    <t>0a:43:fa:a2:c9:a6</t>
  </si>
  <si>
    <t>WS073</t>
  </si>
  <si>
    <t>ABC12417</t>
  </si>
  <si>
    <t>4c:2a:cd:ec:62:64</t>
  </si>
  <si>
    <t>WS074</t>
  </si>
  <si>
    <t>ABC12418</t>
  </si>
  <si>
    <t>64:0b:8c:d9:d0:d1</t>
  </si>
  <si>
    <t>WS075</t>
  </si>
  <si>
    <t>ABC12419</t>
  </si>
  <si>
    <t>a5:8c:2c:4d:6e:7c</t>
  </si>
  <si>
    <t>WS076</t>
  </si>
  <si>
    <t>ABC12420</t>
  </si>
  <si>
    <t>0f:bb:f4:22:89:62</t>
  </si>
  <si>
    <t>WS077</t>
  </si>
  <si>
    <t>ABC12421</t>
  </si>
  <si>
    <t>63:6a:a7:b7:a7:ea</t>
  </si>
  <si>
    <t>WS078</t>
  </si>
  <si>
    <t>ABC12422</t>
  </si>
  <si>
    <t>af:08:06:47:e4:e1</t>
  </si>
  <si>
    <t>WS079</t>
  </si>
  <si>
    <t>ABC12423</t>
  </si>
  <si>
    <t>8c:a2:d7:94:25:2f</t>
  </si>
  <si>
    <t>WS080</t>
  </si>
  <si>
    <t>ABC12424</t>
  </si>
  <si>
    <t>e2:03:c7:5d:e3:1e</t>
  </si>
  <si>
    <t>WS081</t>
  </si>
  <si>
    <t>ABC12425</t>
  </si>
  <si>
    <t>64:24:d3:df:22:25</t>
  </si>
  <si>
    <t>WS082</t>
  </si>
  <si>
    <t>ABC12426</t>
  </si>
  <si>
    <t>3b:d0:33:09:45:81</t>
  </si>
  <si>
    <t>WS083</t>
  </si>
  <si>
    <t>ABC12427</t>
  </si>
  <si>
    <t>42:8e:06:07:2f:31</t>
  </si>
  <si>
    <t>WS084</t>
  </si>
  <si>
    <t>ABC12428</t>
  </si>
  <si>
    <t>91:b0:eb:42:29:36</t>
  </si>
  <si>
    <t>WS085</t>
  </si>
  <si>
    <t>ABC12429</t>
  </si>
  <si>
    <t>53:7d:98:94:30:70</t>
  </si>
  <si>
    <t>WS086</t>
  </si>
  <si>
    <t>ABC12430</t>
  </si>
  <si>
    <t>6e:e1:ca:ee:b1:1c</t>
  </si>
  <si>
    <t>WS087</t>
  </si>
  <si>
    <t>ABC12431</t>
  </si>
  <si>
    <t>09:a3:77:bf:a0:87</t>
  </si>
  <si>
    <t>WS088</t>
  </si>
  <si>
    <t>ABC12432</t>
  </si>
  <si>
    <t>9d:34:77:2f:f1:44</t>
  </si>
  <si>
    <t>WS089</t>
  </si>
  <si>
    <t>ABC12433</t>
  </si>
  <si>
    <t>8e:cf:6a:a6:c0:c7</t>
  </si>
  <si>
    <t>WS090</t>
  </si>
  <si>
    <t>ABC12434</t>
  </si>
  <si>
    <t>bf:12:65:78:36:90</t>
  </si>
  <si>
    <t>WS091</t>
  </si>
  <si>
    <t>ABC12435</t>
  </si>
  <si>
    <t>f0:46:18:b0:1a:81</t>
  </si>
  <si>
    <t>WS092</t>
  </si>
  <si>
    <t>ABC12436</t>
  </si>
  <si>
    <t>5e:04:47:e5:8e:e7</t>
  </si>
  <si>
    <t>WS093</t>
  </si>
  <si>
    <t>ABC12437</t>
  </si>
  <si>
    <t>80:30:c5:ab:b5:26</t>
  </si>
  <si>
    <t>WS094</t>
  </si>
  <si>
    <t>ABC12438</t>
  </si>
  <si>
    <t>a3:92:c2:31:c6:6d</t>
  </si>
  <si>
    <t>WS095</t>
  </si>
  <si>
    <t>ABC12439</t>
  </si>
  <si>
    <t>29:90:36:d9:f9:40</t>
  </si>
  <si>
    <t>WS096</t>
  </si>
  <si>
    <t>ABC12440</t>
  </si>
  <si>
    <t>cf:ab:c9:83:79:71</t>
  </si>
  <si>
    <t>WS097</t>
  </si>
  <si>
    <t>ABC12441</t>
  </si>
  <si>
    <t>35:a7:4b:5a:6b:62</t>
  </si>
  <si>
    <t>WS098</t>
  </si>
  <si>
    <t>ABC12442</t>
  </si>
  <si>
    <t>69:05:17:d0:f9:64</t>
  </si>
  <si>
    <t>WS099</t>
  </si>
  <si>
    <t>ABC12443</t>
  </si>
  <si>
    <t>e6:a9:64:45:a3:66</t>
  </si>
  <si>
    <t>WS100</t>
  </si>
  <si>
    <t>ABC12444</t>
  </si>
  <si>
    <t>ba:f6:8c:98:e0:fe</t>
  </si>
  <si>
    <t>Server</t>
  </si>
  <si>
    <t>SRV09</t>
  </si>
  <si>
    <t>DEF1234</t>
  </si>
  <si>
    <t>3d:85:b9:25:1a:46</t>
  </si>
  <si>
    <t>192.168.220.10</t>
  </si>
  <si>
    <t>App1</t>
  </si>
  <si>
    <t>DEF1235</t>
  </si>
  <si>
    <t>ad:cf:68:04:8a:7e</t>
  </si>
  <si>
    <t>192.168.220.18</t>
  </si>
  <si>
    <t>App2</t>
  </si>
  <si>
    <t>DEF1236</t>
  </si>
  <si>
    <t>00:cc:71:0d:54:c0</t>
  </si>
  <si>
    <t>192.168.220.21</t>
  </si>
  <si>
    <t>DB1</t>
  </si>
  <si>
    <t>DEF1237</t>
  </si>
  <si>
    <t>08:d8:e1:90:98:f5</t>
  </si>
  <si>
    <t>192.168.220.27</t>
  </si>
  <si>
    <t>DB2</t>
  </si>
  <si>
    <t>DEF1238</t>
  </si>
  <si>
    <t>22:d1:4d:71:ce:90</t>
  </si>
  <si>
    <t>192.168.220.29</t>
  </si>
  <si>
    <t>Switch</t>
  </si>
  <si>
    <t>Cisco</t>
  </si>
  <si>
    <t>SW10</t>
  </si>
  <si>
    <t>FGH1234</t>
  </si>
  <si>
    <t>e2:57:0e:b5:7f:89</t>
  </si>
  <si>
    <t>192.168.220.81</t>
  </si>
  <si>
    <t>SW11</t>
  </si>
  <si>
    <t>FGH1235</t>
  </si>
  <si>
    <t>e1:98:4c:b5:e4:1b</t>
  </si>
  <si>
    <t>192.168.220.83</t>
  </si>
  <si>
    <t>SW12</t>
  </si>
  <si>
    <t>FGH1236</t>
  </si>
  <si>
    <t>7d:f5:94:c4:c6:f4</t>
  </si>
  <si>
    <t>192.168.220.84</t>
  </si>
  <si>
    <t>SW15</t>
  </si>
  <si>
    <t>FGH3217</t>
  </si>
  <si>
    <t>18-03-5C-4D-65-B9</t>
  </si>
  <si>
    <t>192.168.220.85</t>
  </si>
  <si>
    <t>SW19</t>
  </si>
  <si>
    <t>FGH3215</t>
  </si>
  <si>
    <t>2A-95-54-53-4B-B1</t>
  </si>
  <si>
    <t>192.168.220.86</t>
  </si>
  <si>
    <t>Printer</t>
  </si>
  <si>
    <t>HP</t>
  </si>
  <si>
    <t>PRN01</t>
  </si>
  <si>
    <t>HPP1234</t>
  </si>
  <si>
    <t>DE-E9-B2-2E-19-CB</t>
  </si>
  <si>
    <t>192.168.220.230</t>
  </si>
  <si>
    <t>PRN02</t>
  </si>
  <si>
    <t>HPP2345</t>
  </si>
  <si>
    <t>32-60-E9-E9-CA-48</t>
  </si>
  <si>
    <t>192.168.220.231</t>
  </si>
  <si>
    <t>PRN03</t>
  </si>
  <si>
    <t>HPP3456</t>
  </si>
  <si>
    <t>7D-71-78-28-50-9A</t>
  </si>
  <si>
    <t>192.168.220.232</t>
  </si>
  <si>
    <t>PRN04</t>
  </si>
  <si>
    <t>HPP4567</t>
  </si>
  <si>
    <t>9F-D0-DD-42-95-EB</t>
  </si>
  <si>
    <t>192.168.220.233</t>
  </si>
  <si>
    <t>PRN20</t>
  </si>
  <si>
    <t>HPP5678</t>
  </si>
  <si>
    <t>12-1A-72-D0-33-C3</t>
  </si>
  <si>
    <t>192.168.220.234</t>
  </si>
  <si>
    <t>Lookup1</t>
  </si>
  <si>
    <t>Lookup2</t>
  </si>
  <si>
    <t>Lookup3</t>
  </si>
  <si>
    <t>Lookup4</t>
  </si>
  <si>
    <t>Lookup5</t>
  </si>
  <si>
    <t>Lookup6</t>
  </si>
  <si>
    <t>Lookup7</t>
  </si>
  <si>
    <t>Lookup8</t>
  </si>
  <si>
    <t>Lookup9</t>
  </si>
  <si>
    <t>Lookup10</t>
  </si>
  <si>
    <t>Lookup11</t>
  </si>
  <si>
    <t>Lookup12</t>
  </si>
  <si>
    <t>Lookup13</t>
  </si>
  <si>
    <t>Lookup14</t>
  </si>
  <si>
    <t>Lookup15</t>
  </si>
  <si>
    <t>Lookup16</t>
  </si>
  <si>
    <t>Lookup17</t>
  </si>
  <si>
    <t>Lookup18</t>
  </si>
  <si>
    <t>Lookup19</t>
  </si>
  <si>
    <t>Lookup20</t>
  </si>
  <si>
    <t>Pass/Fail</t>
  </si>
  <si>
    <t>ELEMENTS</t>
  </si>
  <si>
    <t>Pass</t>
  </si>
  <si>
    <t>Virtual</t>
  </si>
  <si>
    <t>Close</t>
  </si>
  <si>
    <t>TEST</t>
  </si>
  <si>
    <t>NOTE</t>
  </si>
  <si>
    <t>This is a dynamic lookup grid, adding additional items in the Elements rows will make them available to the associated drop-down menus</t>
  </si>
  <si>
    <t>To test click the TEST cell under the lookup and the list should show the new elements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</si>
</sst>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u/>
      <sz val="16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8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4"/>
      <name val="Arial"/>
      <family val="2"/>
    </font>
    <font>
      <sz val="12"/>
      <name val="Arial"/>
      <family val="2"/>
    </font>
    <font>
      <sz val="18"/>
      <name val="Cambria"/>
      <family val="1"/>
    </font>
    <font>
      <b/>
      <sz val="14"/>
      <name val="Arial"/>
      <family val="2"/>
    </font>
    <font>
      <b/>
      <u/>
      <sz val="16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rgb="FF292B2C"/>
      <name val="Calibri"/>
      <family val="2"/>
      <scheme val="minor"/>
    </font>
    <font>
      <sz val="12"/>
      <color rgb="FF222222"/>
      <name val="Calibri"/>
      <family val="2"/>
      <scheme val="minor"/>
    </font>
    <font>
      <b/>
      <sz val="12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sz val="12"/>
      <name val="Cambria"/>
      <family val="1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sz val="11"/>
      <color theme="1"/>
      <name val="Arial"/>
      <family val="2"/>
    </font>
    <font>
      <sz val="12"/>
      <color rgb="FF000000"/>
      <name val="Arial"/>
      <family val="2"/>
    </font>
    <font>
      <b/>
      <u/>
      <sz val="12"/>
      <color theme="1"/>
      <name val="Arial"/>
      <family val="2"/>
    </font>
    <font>
      <b/>
      <strike/>
      <sz val="11"/>
      <color rgb="FF0070C0"/>
      <name val="Arial"/>
      <family val="2"/>
    </font>
    <font>
      <strike/>
      <sz val="11"/>
      <color rgb="FF0070C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57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thick">
        <color auto="1"/>
      </right>
      <top/>
      <bottom style="dashed">
        <color auto="1"/>
      </bottom>
      <diagonal/>
    </border>
    <border>
      <left style="thick">
        <color auto="1"/>
      </left>
      <right style="thick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dashed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auto="1"/>
      </left>
      <right/>
      <top style="medium">
        <color rgb="FF000000"/>
      </top>
      <bottom style="thin">
        <color auto="1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indexed="64"/>
      </left>
      <right/>
      <top style="thin">
        <color indexed="64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" fillId="0" borderId="0"/>
    <xf numFmtId="0" fontId="6" fillId="0" borderId="0"/>
    <xf numFmtId="0" fontId="2" fillId="0" borderId="0"/>
  </cellStyleXfs>
  <cellXfs count="160">
    <xf numFmtId="0" fontId="0" fillId="0" borderId="0" xfId="0"/>
    <xf numFmtId="0" fontId="3" fillId="0" borderId="1" xfId="1" applyFont="1" applyBorder="1" applyAlignment="1">
      <alignment horizontal="center"/>
    </xf>
    <xf numFmtId="0" fontId="4" fillId="0" borderId="0" xfId="1" applyFont="1" applyAlignment="1">
      <alignment horizontal="center"/>
    </xf>
    <xf numFmtId="0" fontId="1" fillId="0" borderId="0" xfId="1"/>
    <xf numFmtId="0" fontId="7" fillId="0" borderId="8" xfId="1" applyFont="1" applyBorder="1"/>
    <xf numFmtId="0" fontId="0" fillId="0" borderId="14" xfId="0" applyBorder="1"/>
    <xf numFmtId="0" fontId="0" fillId="0" borderId="15" xfId="0" applyBorder="1"/>
    <xf numFmtId="0" fontId="0" fillId="0" borderId="27" xfId="0" applyBorder="1"/>
    <xf numFmtId="0" fontId="3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11" fillId="0" borderId="0" xfId="3" applyFont="1"/>
    <xf numFmtId="0" fontId="10" fillId="0" borderId="0" xfId="3" applyFont="1" applyAlignment="1">
      <alignment horizontal="center" vertical="center"/>
    </xf>
    <xf numFmtId="0" fontId="11" fillId="0" borderId="0" xfId="3" applyFont="1" applyAlignment="1">
      <alignment horizontal="left" vertical="top"/>
    </xf>
    <xf numFmtId="0" fontId="12" fillId="0" borderId="0" xfId="3" applyFont="1" applyAlignment="1">
      <alignment wrapText="1"/>
    </xf>
    <xf numFmtId="0" fontId="13" fillId="0" borderId="0" xfId="3" applyFont="1" applyAlignment="1">
      <alignment horizontal="center" vertical="center"/>
    </xf>
    <xf numFmtId="0" fontId="13" fillId="0" borderId="0" xfId="3" applyFont="1" applyAlignment="1">
      <alignment horizontal="right" vertical="center"/>
    </xf>
    <xf numFmtId="0" fontId="13" fillId="0" borderId="0" xfId="3" applyFont="1" applyAlignment="1">
      <alignment horizontal="left" vertical="top"/>
    </xf>
    <xf numFmtId="0" fontId="14" fillId="0" borderId="0" xfId="3" applyFont="1" applyAlignment="1">
      <alignment vertical="center"/>
    </xf>
    <xf numFmtId="0" fontId="13" fillId="0" borderId="21" xfId="3" applyFont="1" applyBorder="1" applyAlignment="1">
      <alignment horizontal="right" vertical="center"/>
    </xf>
    <xf numFmtId="0" fontId="13" fillId="0" borderId="21" xfId="3" applyFont="1" applyBorder="1" applyAlignment="1">
      <alignment horizontal="center" vertical="center"/>
    </xf>
    <xf numFmtId="0" fontId="15" fillId="0" borderId="14" xfId="3" applyFont="1" applyBorder="1" applyAlignment="1">
      <alignment horizontal="center" vertical="center"/>
    </xf>
    <xf numFmtId="0" fontId="16" fillId="0" borderId="15" xfId="3" applyFont="1" applyBorder="1" applyAlignment="1">
      <alignment horizontal="left" vertical="top" wrapText="1"/>
    </xf>
    <xf numFmtId="0" fontId="16" fillId="0" borderId="15" xfId="3" applyFont="1" applyBorder="1" applyAlignment="1">
      <alignment horizontal="center" vertical="center"/>
    </xf>
    <xf numFmtId="0" fontId="15" fillId="0" borderId="15" xfId="3" applyFont="1" applyBorder="1" applyAlignment="1">
      <alignment horizontal="center" vertical="center" wrapText="1"/>
    </xf>
    <xf numFmtId="14" fontId="15" fillId="0" borderId="15" xfId="3" applyNumberFormat="1" applyFont="1" applyBorder="1" applyAlignment="1">
      <alignment horizontal="center" vertical="center"/>
    </xf>
    <xf numFmtId="0" fontId="16" fillId="0" borderId="15" xfId="3" applyFont="1" applyBorder="1" applyAlignment="1">
      <alignment horizontal="left" vertical="top"/>
    </xf>
    <xf numFmtId="0" fontId="16" fillId="0" borderId="14" xfId="3" applyFont="1" applyBorder="1"/>
    <xf numFmtId="0" fontId="16" fillId="0" borderId="15" xfId="3" applyFont="1" applyBorder="1"/>
    <xf numFmtId="0" fontId="16" fillId="0" borderId="17" xfId="3" applyFont="1" applyBorder="1"/>
    <xf numFmtId="0" fontId="16" fillId="0" borderId="18" xfId="3" applyFont="1" applyBorder="1"/>
    <xf numFmtId="0" fontId="17" fillId="0" borderId="27" xfId="0" applyFont="1" applyBorder="1"/>
    <xf numFmtId="0" fontId="17" fillId="0" borderId="28" xfId="0" applyFont="1" applyBorder="1"/>
    <xf numFmtId="0" fontId="18" fillId="0" borderId="43" xfId="0" applyFont="1" applyBorder="1"/>
    <xf numFmtId="0" fontId="17" fillId="0" borderId="14" xfId="0" applyFont="1" applyBorder="1"/>
    <xf numFmtId="0" fontId="17" fillId="0" borderId="15" xfId="0" applyFont="1" applyBorder="1"/>
    <xf numFmtId="0" fontId="18" fillId="0" borderId="44" xfId="0" applyFont="1" applyBorder="1"/>
    <xf numFmtId="0" fontId="17" fillId="0" borderId="44" xfId="0" applyFont="1" applyBorder="1"/>
    <xf numFmtId="0" fontId="19" fillId="0" borderId="0" xfId="0" applyFont="1"/>
    <xf numFmtId="0" fontId="17" fillId="0" borderId="17" xfId="0" applyFont="1" applyBorder="1"/>
    <xf numFmtId="0" fontId="17" fillId="0" borderId="18" xfId="0" applyFont="1" applyBorder="1"/>
    <xf numFmtId="0" fontId="20" fillId="0" borderId="3" xfId="2" applyFont="1" applyBorder="1" applyAlignment="1">
      <alignment horizontal="center" vertical="center"/>
    </xf>
    <xf numFmtId="0" fontId="20" fillId="0" borderId="3" xfId="2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5" xfId="2" applyFont="1" applyBorder="1" applyAlignment="1">
      <alignment horizontal="center" vertical="center"/>
    </xf>
    <xf numFmtId="0" fontId="21" fillId="0" borderId="5" xfId="1" applyFont="1" applyBorder="1" applyAlignment="1">
      <alignment horizontal="center"/>
    </xf>
    <xf numFmtId="0" fontId="20" fillId="0" borderId="5" xfId="2" applyFont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/>
    </xf>
    <xf numFmtId="0" fontId="21" fillId="0" borderId="5" xfId="1" applyFont="1" applyBorder="1"/>
    <xf numFmtId="0" fontId="20" fillId="0" borderId="5" xfId="0" applyFont="1" applyBorder="1" applyAlignment="1">
      <alignment horizontal="center" vertical="center"/>
    </xf>
    <xf numFmtId="0" fontId="21" fillId="0" borderId="4" xfId="1" applyFont="1" applyBorder="1" applyAlignment="1">
      <alignment horizontal="center"/>
    </xf>
    <xf numFmtId="0" fontId="21" fillId="0" borderId="7" xfId="1" applyFont="1" applyBorder="1" applyAlignment="1">
      <alignment horizontal="center"/>
    </xf>
    <xf numFmtId="0" fontId="21" fillId="0" borderId="7" xfId="1" applyFont="1" applyBorder="1"/>
    <xf numFmtId="0" fontId="22" fillId="0" borderId="12" xfId="3" applyFont="1" applyBorder="1" applyAlignment="1">
      <alignment horizontal="center" vertical="center"/>
    </xf>
    <xf numFmtId="0" fontId="22" fillId="0" borderId="15" xfId="3" applyFont="1" applyBorder="1" applyAlignment="1">
      <alignment horizontal="center" vertical="center"/>
    </xf>
    <xf numFmtId="0" fontId="21" fillId="0" borderId="9" xfId="1" applyFont="1" applyBorder="1"/>
    <xf numFmtId="0" fontId="21" fillId="0" borderId="10" xfId="1" applyFont="1" applyBorder="1"/>
    <xf numFmtId="0" fontId="23" fillId="0" borderId="5" xfId="1" applyFont="1" applyBorder="1" applyAlignment="1">
      <alignment horizontal="center"/>
    </xf>
    <xf numFmtId="0" fontId="20" fillId="0" borderId="3" xfId="0" applyFont="1" applyBorder="1" applyAlignment="1">
      <alignment horizontal="center" vertical="center"/>
    </xf>
    <xf numFmtId="0" fontId="0" fillId="0" borderId="44" xfId="0" applyBorder="1"/>
    <xf numFmtId="0" fontId="24" fillId="0" borderId="45" xfId="0" applyFont="1" applyBorder="1"/>
    <xf numFmtId="0" fontId="24" fillId="0" borderId="46" xfId="0" applyFont="1" applyBorder="1"/>
    <xf numFmtId="0" fontId="24" fillId="0" borderId="47" xfId="0" applyFon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25" fillId="7" borderId="39" xfId="0" applyFont="1" applyFill="1" applyBorder="1"/>
    <xf numFmtId="0" fontId="25" fillId="7" borderId="40" xfId="0" applyFont="1" applyFill="1" applyBorder="1"/>
    <xf numFmtId="0" fontId="25" fillId="7" borderId="41" xfId="0" applyFont="1" applyFill="1" applyBorder="1"/>
    <xf numFmtId="0" fontId="22" fillId="7" borderId="8" xfId="3" applyFont="1" applyFill="1" applyBorder="1" applyAlignment="1">
      <alignment horizontal="center" vertical="center"/>
    </xf>
    <xf numFmtId="0" fontId="22" fillId="7" borderId="30" xfId="3" applyFont="1" applyFill="1" applyBorder="1" applyAlignment="1">
      <alignment horizontal="center" vertical="center"/>
    </xf>
    <xf numFmtId="0" fontId="22" fillId="7" borderId="8" xfId="3" applyFont="1" applyFill="1" applyBorder="1" applyAlignment="1">
      <alignment horizontal="center" vertical="top"/>
    </xf>
    <xf numFmtId="0" fontId="22" fillId="7" borderId="10" xfId="3" applyFont="1" applyFill="1" applyBorder="1" applyAlignment="1">
      <alignment horizontal="center"/>
    </xf>
    <xf numFmtId="0" fontId="22" fillId="0" borderId="11" xfId="3" applyFont="1" applyBorder="1" applyAlignment="1">
      <alignment horizontal="right" vertical="center"/>
    </xf>
    <xf numFmtId="0" fontId="22" fillId="0" borderId="14" xfId="3" applyFont="1" applyBorder="1" applyAlignment="1">
      <alignment horizontal="right" vertical="center"/>
    </xf>
    <xf numFmtId="0" fontId="22" fillId="0" borderId="14" xfId="3" applyFont="1" applyBorder="1" applyAlignment="1">
      <alignment horizontal="right"/>
    </xf>
    <xf numFmtId="0" fontId="22" fillId="0" borderId="17" xfId="3" applyFont="1" applyBorder="1" applyAlignment="1">
      <alignment horizontal="right" vertical="center"/>
    </xf>
    <xf numFmtId="0" fontId="22" fillId="0" borderId="37" xfId="3" applyFont="1" applyBorder="1" applyAlignment="1">
      <alignment horizontal="right" vertical="center"/>
    </xf>
    <xf numFmtId="0" fontId="22" fillId="0" borderId="13" xfId="3" applyFont="1" applyBorder="1" applyAlignment="1">
      <alignment horizontal="center" vertical="center"/>
    </xf>
    <xf numFmtId="0" fontId="22" fillId="0" borderId="16" xfId="3" applyFont="1" applyBorder="1" applyAlignment="1">
      <alignment horizontal="center" vertical="center"/>
    </xf>
    <xf numFmtId="0" fontId="22" fillId="0" borderId="16" xfId="3" applyFont="1" applyBorder="1" applyAlignment="1">
      <alignment horizontal="center"/>
    </xf>
    <xf numFmtId="0" fontId="22" fillId="0" borderId="19" xfId="3" applyFont="1" applyBorder="1" applyAlignment="1">
      <alignment horizontal="center" vertical="center"/>
    </xf>
    <xf numFmtId="0" fontId="22" fillId="0" borderId="38" xfId="3" applyFont="1" applyBorder="1" applyAlignment="1">
      <alignment horizontal="center" vertical="center"/>
    </xf>
    <xf numFmtId="0" fontId="22" fillId="0" borderId="34" xfId="3" applyFont="1" applyBorder="1" applyAlignment="1">
      <alignment horizontal="left" vertical="top"/>
    </xf>
    <xf numFmtId="0" fontId="22" fillId="2" borderId="29" xfId="3" applyFont="1" applyFill="1" applyBorder="1" applyAlignment="1">
      <alignment horizontal="center"/>
    </xf>
    <xf numFmtId="0" fontId="22" fillId="0" borderId="35" xfId="3" applyFont="1" applyBorder="1" applyAlignment="1">
      <alignment horizontal="left" vertical="top"/>
    </xf>
    <xf numFmtId="0" fontId="22" fillId="3" borderId="16" xfId="3" applyFont="1" applyFill="1" applyBorder="1" applyAlignment="1">
      <alignment horizontal="center"/>
    </xf>
    <xf numFmtId="0" fontId="22" fillId="4" borderId="16" xfId="3" applyFont="1" applyFill="1" applyBorder="1" applyAlignment="1">
      <alignment horizontal="center"/>
    </xf>
    <xf numFmtId="0" fontId="22" fillId="5" borderId="16" xfId="3" applyFont="1" applyFill="1" applyBorder="1" applyAlignment="1">
      <alignment horizontal="center"/>
    </xf>
    <xf numFmtId="0" fontId="22" fillId="0" borderId="36" xfId="3" applyFont="1" applyBorder="1" applyAlignment="1">
      <alignment horizontal="left" vertical="top"/>
    </xf>
    <xf numFmtId="0" fontId="22" fillId="6" borderId="19" xfId="3" applyFont="1" applyFill="1" applyBorder="1" applyAlignment="1">
      <alignment horizontal="center" vertical="center"/>
    </xf>
    <xf numFmtId="0" fontId="22" fillId="0" borderId="8" xfId="3" applyFont="1" applyBorder="1" applyAlignment="1">
      <alignment horizontal="right" vertical="top"/>
    </xf>
    <xf numFmtId="0" fontId="22" fillId="0" borderId="10" xfId="3" applyFont="1" applyBorder="1" applyAlignment="1">
      <alignment horizontal="center" vertical="center"/>
    </xf>
    <xf numFmtId="0" fontId="22" fillId="7" borderId="39" xfId="3" applyFont="1" applyFill="1" applyBorder="1" applyAlignment="1">
      <alignment horizontal="center" vertical="center"/>
    </xf>
    <xf numFmtId="0" fontId="22" fillId="7" borderId="40" xfId="3" applyFont="1" applyFill="1" applyBorder="1" applyAlignment="1">
      <alignment horizontal="center" vertical="center"/>
    </xf>
    <xf numFmtId="0" fontId="22" fillId="7" borderId="40" xfId="3" applyFont="1" applyFill="1" applyBorder="1" applyAlignment="1">
      <alignment horizontal="center"/>
    </xf>
    <xf numFmtId="0" fontId="22" fillId="7" borderId="41" xfId="3" applyFont="1" applyFill="1" applyBorder="1" applyAlignment="1">
      <alignment horizontal="center" vertical="center"/>
    </xf>
    <xf numFmtId="0" fontId="22" fillId="7" borderId="42" xfId="3" applyFont="1" applyFill="1" applyBorder="1" applyAlignment="1">
      <alignment horizontal="center"/>
    </xf>
    <xf numFmtId="0" fontId="26" fillId="0" borderId="0" xfId="3" applyFont="1" applyAlignment="1">
      <alignment wrapText="1"/>
    </xf>
    <xf numFmtId="0" fontId="27" fillId="0" borderId="11" xfId="3" applyFont="1" applyBorder="1" applyAlignment="1">
      <alignment horizontal="center" vertical="center"/>
    </xf>
    <xf numFmtId="0" fontId="28" fillId="0" borderId="12" xfId="3" applyFont="1" applyBorder="1" applyAlignment="1">
      <alignment horizontal="left" vertical="top" wrapText="1"/>
    </xf>
    <xf numFmtId="0" fontId="28" fillId="0" borderId="12" xfId="3" applyFont="1" applyBorder="1" applyAlignment="1">
      <alignment horizontal="center" vertical="center"/>
    </xf>
    <xf numFmtId="0" fontId="27" fillId="0" borderId="12" xfId="3" applyFont="1" applyBorder="1" applyAlignment="1">
      <alignment horizontal="center" vertical="center" wrapText="1"/>
    </xf>
    <xf numFmtId="14" fontId="27" fillId="0" borderId="12" xfId="3" applyNumberFormat="1" applyFont="1" applyBorder="1" applyAlignment="1">
      <alignment horizontal="center" vertical="center"/>
    </xf>
    <xf numFmtId="0" fontId="29" fillId="0" borderId="0" xfId="0" applyFont="1"/>
    <xf numFmtId="0" fontId="23" fillId="7" borderId="8" xfId="0" applyFont="1" applyFill="1" applyBorder="1"/>
    <xf numFmtId="0" fontId="23" fillId="7" borderId="10" xfId="0" applyFont="1" applyFill="1" applyBorder="1"/>
    <xf numFmtId="0" fontId="2" fillId="0" borderId="0" xfId="0" applyFont="1"/>
    <xf numFmtId="0" fontId="23" fillId="0" borderId="27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7" borderId="9" xfId="0" applyFont="1" applyFill="1" applyBorder="1" applyAlignment="1">
      <alignment textRotation="45"/>
    </xf>
    <xf numFmtId="0" fontId="23" fillId="7" borderId="9" xfId="0" applyFont="1" applyFill="1" applyBorder="1" applyAlignment="1">
      <alignment textRotation="46"/>
    </xf>
    <xf numFmtId="0" fontId="23" fillId="7" borderId="10" xfId="0" applyFont="1" applyFill="1" applyBorder="1" applyAlignment="1">
      <alignment textRotation="46"/>
    </xf>
    <xf numFmtId="0" fontId="31" fillId="0" borderId="0" xfId="0" applyFont="1" applyAlignment="1">
      <alignment textRotation="46"/>
    </xf>
    <xf numFmtId="0" fontId="23" fillId="7" borderId="9" xfId="0" applyFont="1" applyFill="1" applyBorder="1"/>
    <xf numFmtId="0" fontId="23" fillId="7" borderId="30" xfId="0" applyFont="1" applyFill="1" applyBorder="1"/>
    <xf numFmtId="0" fontId="32" fillId="7" borderId="40" xfId="0" applyFont="1" applyFill="1" applyBorder="1"/>
    <xf numFmtId="0" fontId="33" fillId="0" borderId="46" xfId="0" applyFont="1" applyBorder="1"/>
    <xf numFmtId="14" fontId="33" fillId="0" borderId="46" xfId="0" applyNumberFormat="1" applyFont="1" applyBorder="1"/>
    <xf numFmtId="0" fontId="33" fillId="0" borderId="15" xfId="0" applyFont="1" applyBorder="1"/>
    <xf numFmtId="0" fontId="33" fillId="0" borderId="52" xfId="0" applyFont="1" applyBorder="1"/>
    <xf numFmtId="0" fontId="33" fillId="0" borderId="0" xfId="0" applyFont="1"/>
    <xf numFmtId="0" fontId="24" fillId="0" borderId="0" xfId="0" applyFont="1"/>
    <xf numFmtId="0" fontId="34" fillId="0" borderId="0" xfId="0" applyFont="1"/>
    <xf numFmtId="0" fontId="35" fillId="0" borderId="0" xfId="0" applyFont="1"/>
    <xf numFmtId="0" fontId="17" fillId="0" borderId="43" xfId="0" applyFont="1" applyBorder="1"/>
    <xf numFmtId="0" fontId="17" fillId="0" borderId="55" xfId="0" applyFont="1" applyBorder="1"/>
    <xf numFmtId="0" fontId="36" fillId="0" borderId="0" xfId="0" applyFont="1"/>
    <xf numFmtId="0" fontId="37" fillId="0" borderId="0" xfId="1" applyFont="1"/>
    <xf numFmtId="0" fontId="38" fillId="0" borderId="0" xfId="1" applyFont="1"/>
    <xf numFmtId="0" fontId="7" fillId="0" borderId="0" xfId="1" applyFont="1"/>
    <xf numFmtId="0" fontId="39" fillId="0" borderId="56" xfId="0" applyFont="1" applyBorder="1"/>
    <xf numFmtId="0" fontId="21" fillId="0" borderId="5" xfId="1" applyFont="1" applyBorder="1" applyAlignment="1">
      <alignment horizontal="center" vertical="center"/>
    </xf>
    <xf numFmtId="0" fontId="0" fillId="0" borderId="28" xfId="0" applyBorder="1" applyAlignment="1">
      <alignment wrapText="1"/>
    </xf>
    <xf numFmtId="0" fontId="0" fillId="0" borderId="29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30" fillId="0" borderId="29" xfId="0" applyFont="1" applyBorder="1" applyAlignment="1">
      <alignment wrapText="1"/>
    </xf>
    <xf numFmtId="0" fontId="30" fillId="0" borderId="16" xfId="0" applyFont="1" applyBorder="1" applyAlignment="1">
      <alignment wrapText="1"/>
    </xf>
    <xf numFmtId="0" fontId="30" fillId="0" borderId="19" xfId="0" applyFont="1" applyBorder="1" applyAlignment="1">
      <alignment wrapText="1"/>
    </xf>
    <xf numFmtId="0" fontId="9" fillId="0" borderId="31" xfId="0" applyFont="1" applyBorder="1" applyAlignment="1">
      <alignment horizontal="right"/>
    </xf>
    <xf numFmtId="0" fontId="9" fillId="0" borderId="32" xfId="0" applyFont="1" applyBorder="1" applyAlignment="1">
      <alignment horizontal="right"/>
    </xf>
    <xf numFmtId="0" fontId="9" fillId="0" borderId="25" xfId="0" applyFont="1" applyBorder="1" applyAlignment="1">
      <alignment horizontal="right"/>
    </xf>
    <xf numFmtId="0" fontId="9" fillId="0" borderId="20" xfId="0" applyFont="1" applyBorder="1" applyAlignment="1">
      <alignment horizontal="right"/>
    </xf>
    <xf numFmtId="0" fontId="9" fillId="0" borderId="22" xfId="0" applyFont="1" applyBorder="1" applyAlignment="1">
      <alignment horizontal="right"/>
    </xf>
    <xf numFmtId="0" fontId="9" fillId="0" borderId="23" xfId="0" applyFont="1" applyBorder="1" applyAlignment="1">
      <alignment horizontal="right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32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5" fillId="0" borderId="2" xfId="1" applyFont="1" applyBorder="1" applyAlignment="1">
      <alignment horizontal="center" vertical="center" textRotation="255"/>
    </xf>
    <xf numFmtId="0" fontId="5" fillId="0" borderId="6" xfId="1" applyFont="1" applyBorder="1" applyAlignment="1">
      <alignment horizontal="center" vertical="center" textRotation="255"/>
    </xf>
  </cellXfs>
  <cellStyles count="4">
    <cellStyle name="Normal" xfId="0" builtinId="0"/>
    <cellStyle name="Normal 2" xfId="1" xr:uid="{F64C7F7B-3201-453E-A535-63988DD4792C}"/>
    <cellStyle name="Normal 3" xfId="2" xr:uid="{4A4C74C6-90F2-4019-9F81-35C1D4AD96BA}"/>
    <cellStyle name="Normal 4" xfId="3" xr:uid="{A42E3E7D-2355-431C-B11C-0783413C6336}"/>
  </cellStyles>
  <dxfs count="30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22</xdr:col>
      <xdr:colOff>590550</xdr:colOff>
      <xdr:row>35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542E2A1-6916-41F0-8C8E-53D32EE2A2DE}"/>
            </a:ext>
          </a:extLst>
        </xdr:cNvPr>
        <xdr:cNvSpPr txBox="1"/>
      </xdr:nvSpPr>
      <xdr:spPr>
        <a:xfrm>
          <a:off x="0" y="1076325"/>
          <a:ext cx="14001750" cy="5953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>
              <a:latin typeface="+mn-lt"/>
            </a:rPr>
            <a:t>This is the assignment workbook for Assignment 3</a:t>
          </a:r>
          <a:r>
            <a:rPr lang="en-GB" sz="1400" baseline="0">
              <a:latin typeface="+mn-lt"/>
            </a:rPr>
            <a:t>, this workbook contains the following worksheets: -</a:t>
          </a:r>
        </a:p>
        <a:p>
          <a:endParaRPr lang="en-GB" sz="1400" baseline="0">
            <a:latin typeface="+mn-lt"/>
          </a:endParaRPr>
        </a:p>
        <a:p>
          <a:r>
            <a:rPr lang="en-GB" sz="1400" baseline="0">
              <a:latin typeface="+mn-lt"/>
            </a:rPr>
            <a:t>1 - Infrastructure Status Log</a:t>
          </a:r>
        </a:p>
        <a:p>
          <a:r>
            <a:rPr lang="en-GB" sz="1400" baseline="0">
              <a:latin typeface="+mn-lt"/>
            </a:rPr>
            <a:t>2 - Penetration Test Remediation Log</a:t>
          </a:r>
        </a:p>
        <a:p>
          <a:r>
            <a:rPr lang="en-GB" sz="1400">
              <a:latin typeface="+mn-lt"/>
            </a:rPr>
            <a:t>3</a:t>
          </a:r>
          <a:r>
            <a:rPr lang="en-GB" sz="1400" baseline="0">
              <a:latin typeface="+mn-lt"/>
            </a:rPr>
            <a:t> - Test Plan</a:t>
          </a:r>
        </a:p>
        <a:p>
          <a:r>
            <a:rPr lang="en-GB" sz="1400" baseline="0">
              <a:latin typeface="+mn-lt"/>
            </a:rPr>
            <a:t>4 - Test Log </a:t>
          </a:r>
        </a:p>
        <a:p>
          <a:r>
            <a:rPr lang="en-GB" sz="1400" baseline="0">
              <a:latin typeface="+mn-lt"/>
            </a:rPr>
            <a:t>5 - Equipment List (used with the network diagram supplied)</a:t>
          </a:r>
        </a:p>
        <a:p>
          <a:endParaRPr lang="en-GB" sz="1400">
            <a:latin typeface="+mn-lt"/>
          </a:endParaRPr>
        </a:p>
        <a:p>
          <a:r>
            <a:rPr lang="en-GB" sz="1400" b="1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Notes on Pen Test Remediation Log Completion</a:t>
          </a:r>
          <a:r>
            <a:rPr lang="en-GB" sz="1400">
              <a:latin typeface="+mn-lt"/>
            </a:rPr>
            <a:t> </a:t>
          </a:r>
        </a:p>
        <a:p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log  is used to track any actions required following a Penetration Test. </a:t>
          </a:r>
          <a:r>
            <a:rPr lang="en-GB" sz="1400">
              <a:latin typeface="+mn-lt"/>
            </a:rPr>
            <a:t> </a:t>
          </a:r>
        </a:p>
        <a:p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Note that rows 1-9 contain the summary information automatically calculated by the values entered in row 12 onwards</a:t>
          </a:r>
          <a:r>
            <a:rPr lang="en-GB" sz="1400">
              <a:latin typeface="+mn-lt"/>
            </a:rPr>
            <a:t> </a:t>
          </a:r>
        </a:p>
        <a:p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Cells A2 to A8 use a drop down list, adding or changing values to Lookup &gt; Cell B3 onwards will make those values immediately available in the drop down field</a:t>
          </a:r>
          <a:r>
            <a:rPr lang="en-GB" sz="1400">
              <a:latin typeface="+mn-lt"/>
            </a:rPr>
            <a:t> </a:t>
          </a:r>
        </a:p>
        <a:p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Cells B2 to B9 use formulae to count the actions against the Assigned To value</a:t>
          </a:r>
          <a:r>
            <a:rPr lang="en-GB" sz="1400">
              <a:latin typeface="+mn-lt"/>
            </a:rPr>
            <a:t> </a:t>
          </a:r>
        </a:p>
        <a:p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The table in cells C1 to D7 uses formulae to summarise the numkber of CVSS issues found</a:t>
          </a:r>
          <a:r>
            <a:rPr lang="en-GB" sz="1400">
              <a:latin typeface="+mn-lt"/>
            </a:rPr>
            <a:t> </a:t>
          </a:r>
        </a:p>
        <a:p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Enter the details from the Pen Test report into the table beginning in cell A12 and the 2 tables references above will aoutomatically count up a summary</a:t>
          </a:r>
          <a:r>
            <a:rPr lang="en-GB" sz="1400">
              <a:latin typeface="+mn-lt"/>
            </a:rPr>
            <a:t> </a:t>
          </a:r>
        </a:p>
        <a:p>
          <a:r>
            <a:rPr lang="en-GB" sz="1400">
              <a:latin typeface="+mn-lt"/>
            </a:rPr>
            <a:t>6. The sheet contains example data that should be removed before completing with your data</a:t>
          </a:r>
        </a:p>
        <a:p>
          <a:endParaRPr lang="en-GB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36857</xdr:colOff>
      <xdr:row>0</xdr:row>
      <xdr:rowOff>12010</xdr:rowOff>
    </xdr:from>
    <xdr:to>
      <xdr:col>8</xdr:col>
      <xdr:colOff>480393</xdr:colOff>
      <xdr:row>9</xdr:row>
      <xdr:rowOff>24847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EAABC54-D609-4E58-B681-E1FD9BD0988A}"/>
            </a:ext>
          </a:extLst>
        </xdr:cNvPr>
        <xdr:cNvSpPr txBox="1"/>
      </xdr:nvSpPr>
      <xdr:spPr>
        <a:xfrm>
          <a:off x="36857" y="12010"/>
          <a:ext cx="5291761" cy="17273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 u="sng">
              <a:latin typeface="Arial" panose="020B0604020202020204" pitchFamily="34" charset="0"/>
              <a:cs typeface="Arial" panose="020B0604020202020204" pitchFamily="34" charset="0"/>
            </a:rPr>
            <a:t>Test Plan</a:t>
          </a:r>
        </a:p>
        <a:p>
          <a:endParaRPr lang="en-GB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>
              <a:latin typeface="Arial" panose="020B0604020202020204" pitchFamily="34" charset="0"/>
              <a:cs typeface="Arial" panose="020B0604020202020204" pitchFamily="34" charset="0"/>
            </a:rPr>
            <a:t>Please</a:t>
          </a:r>
          <a:r>
            <a:rPr lang="en-GB" sz="1200" baseline="0">
              <a:latin typeface="Arial" panose="020B0604020202020204" pitchFamily="34" charset="0"/>
              <a:cs typeface="Arial" panose="020B0604020202020204" pitchFamily="34" charset="0"/>
            </a:rPr>
            <a:t> use the table below to enter the Area Name for the tests you have identified as necessary (Please replace the areas to be tested listed with yours): -</a:t>
          </a:r>
        </a:p>
        <a:p>
          <a:endParaRPr lang="en-GB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aseline="0">
              <a:latin typeface="Arial" panose="020B0604020202020204" pitchFamily="34" charset="0"/>
              <a:cs typeface="Arial" panose="020B0604020202020204" pitchFamily="34" charset="0"/>
            </a:rPr>
            <a:t>Pease update the Test Log with the areas identified ready for test execution</a:t>
          </a:r>
          <a:endParaRPr lang="en-GB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fetynetgroup-my.sharepoint.com/personal/john_carlin_itsafetynet_co_uk/Documents/_Company/My%20Clients/NCFE/_Assignments/Assignment%203/Hardware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ipment List"/>
      <sheetName val="Lookup"/>
    </sheetNames>
    <sheetDataSet>
      <sheetData sheetId="0"/>
      <sheetData sheetId="1">
        <row r="2">
          <cell r="A2" t="str">
            <v>Workstation</v>
          </cell>
        </row>
        <row r="3">
          <cell r="A3" t="str">
            <v>Server</v>
          </cell>
        </row>
        <row r="4">
          <cell r="A4" t="str">
            <v>Switch</v>
          </cell>
        </row>
        <row r="5">
          <cell r="A5" t="str">
            <v>Printer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ED8AE-C011-41A2-9F94-ED5E97902851}">
  <dimension ref="A1:H5"/>
  <sheetViews>
    <sheetView workbookViewId="0">
      <selection activeCell="Y31" sqref="Y31"/>
    </sheetView>
  </sheetViews>
  <sheetFormatPr defaultRowHeight="15"/>
  <sheetData>
    <row r="1" spans="1:8" ht="22.5" thickTop="1" thickBot="1">
      <c r="A1" s="150" t="s">
        <v>0</v>
      </c>
      <c r="B1" s="151"/>
      <c r="C1" s="151"/>
      <c r="D1" s="152" t="s">
        <v>1</v>
      </c>
      <c r="E1" s="152"/>
      <c r="F1" s="152"/>
      <c r="G1" s="152"/>
      <c r="H1" s="153"/>
    </row>
    <row r="2" spans="1:8" ht="21.75" thickBot="1">
      <c r="A2" s="146" t="s">
        <v>2</v>
      </c>
      <c r="B2" s="147"/>
      <c r="C2" s="147"/>
      <c r="D2" s="154"/>
      <c r="E2" s="154"/>
      <c r="F2" s="154"/>
      <c r="G2" s="154"/>
      <c r="H2" s="155"/>
    </row>
    <row r="3" spans="1:8" ht="21.75" thickBot="1">
      <c r="A3" s="146" t="s">
        <v>3</v>
      </c>
      <c r="B3" s="147"/>
      <c r="C3" s="147"/>
      <c r="D3" s="154"/>
      <c r="E3" s="154"/>
      <c r="F3" s="154"/>
      <c r="G3" s="154"/>
      <c r="H3" s="155"/>
    </row>
    <row r="4" spans="1:8" ht="21.75" thickBot="1">
      <c r="A4" s="148" t="s">
        <v>4</v>
      </c>
      <c r="B4" s="149"/>
      <c r="C4" s="149"/>
      <c r="D4" s="156"/>
      <c r="E4" s="156"/>
      <c r="F4" s="156"/>
      <c r="G4" s="156"/>
      <c r="H4" s="157"/>
    </row>
    <row r="5" spans="1:8" ht="15.75" thickTop="1"/>
  </sheetData>
  <mergeCells count="8">
    <mergeCell ref="A2:C2"/>
    <mergeCell ref="A3:C3"/>
    <mergeCell ref="A4:C4"/>
    <mergeCell ref="A1:C1"/>
    <mergeCell ref="D1:H1"/>
    <mergeCell ref="D2:H2"/>
    <mergeCell ref="D3:H3"/>
    <mergeCell ref="D4:H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5CE33-8B91-4FA1-9A72-59C44047678A}">
  <dimension ref="A1:I101"/>
  <sheetViews>
    <sheetView zoomScale="145" zoomScaleNormal="145" workbookViewId="0">
      <selection activeCell="B13" sqref="B13"/>
    </sheetView>
  </sheetViews>
  <sheetFormatPr defaultRowHeight="15"/>
  <cols>
    <col min="1" max="1" width="14.140625" bestFit="1" customWidth="1"/>
    <col min="2" max="2" width="13.5703125" customWidth="1"/>
    <col min="3" max="3" width="15.28515625" customWidth="1"/>
    <col min="4" max="4" width="10.28515625" customWidth="1"/>
    <col min="5" max="5" width="12.85546875" style="127" bestFit="1" customWidth="1"/>
    <col min="6" max="6" width="13.7109375" style="127" bestFit="1" customWidth="1"/>
    <col min="7" max="7" width="14.28515625" style="127" bestFit="1" customWidth="1"/>
    <col min="8" max="8" width="13.140625" bestFit="1" customWidth="1"/>
    <col min="9" max="9" width="16.42578125" customWidth="1"/>
  </cols>
  <sheetData>
    <row r="1" spans="1:9">
      <c r="A1" s="71" t="s">
        <v>5</v>
      </c>
      <c r="B1" s="72" t="s">
        <v>6</v>
      </c>
      <c r="C1" s="72" t="s">
        <v>7</v>
      </c>
      <c r="D1" s="72" t="s">
        <v>8</v>
      </c>
      <c r="E1" s="122" t="s">
        <v>9</v>
      </c>
      <c r="F1" s="122" t="s">
        <v>10</v>
      </c>
      <c r="G1" s="122" t="s">
        <v>11</v>
      </c>
      <c r="H1" s="73" t="s">
        <v>12</v>
      </c>
      <c r="I1" s="73" t="s">
        <v>13</v>
      </c>
    </row>
    <row r="2" spans="1:9">
      <c r="A2" s="61" t="s">
        <v>14</v>
      </c>
      <c r="B2" s="62" t="s">
        <v>15</v>
      </c>
      <c r="C2" s="62" t="s">
        <v>16</v>
      </c>
      <c r="D2" s="62" t="s">
        <v>17</v>
      </c>
      <c r="E2" s="123" t="s">
        <v>18</v>
      </c>
      <c r="F2" s="123" t="s">
        <v>19</v>
      </c>
      <c r="G2" s="124">
        <v>44001</v>
      </c>
      <c r="H2" s="63" t="s">
        <v>20</v>
      </c>
      <c r="I2" s="64"/>
    </row>
    <row r="3" spans="1:9">
      <c r="A3" s="65"/>
      <c r="B3" s="6"/>
      <c r="C3" s="6"/>
      <c r="D3" s="6"/>
      <c r="E3" s="125"/>
      <c r="F3" s="125"/>
      <c r="G3" s="125"/>
      <c r="H3" s="60"/>
      <c r="I3" s="66"/>
    </row>
    <row r="4" spans="1:9">
      <c r="A4" s="65"/>
      <c r="B4" s="6"/>
      <c r="C4" s="6"/>
      <c r="D4" s="6"/>
      <c r="E4" s="125"/>
      <c r="F4" s="125"/>
      <c r="G4" s="125"/>
      <c r="H4" s="60"/>
      <c r="I4" s="66"/>
    </row>
    <row r="5" spans="1:9">
      <c r="A5" s="65"/>
      <c r="B5" s="6"/>
      <c r="C5" s="6"/>
      <c r="D5" s="6"/>
      <c r="E5" s="125"/>
      <c r="F5" s="125"/>
      <c r="G5" s="125"/>
      <c r="H5" s="60"/>
      <c r="I5" s="66"/>
    </row>
    <row r="6" spans="1:9">
      <c r="A6" s="65"/>
      <c r="B6" s="6"/>
      <c r="C6" s="6"/>
      <c r="D6" s="6"/>
      <c r="E6" s="125"/>
      <c r="F6" s="125"/>
      <c r="G6" s="125"/>
      <c r="H6" s="60"/>
      <c r="I6" s="66"/>
    </row>
    <row r="7" spans="1:9">
      <c r="A7" s="65"/>
      <c r="B7" s="6"/>
      <c r="C7" s="6"/>
      <c r="D7" s="6"/>
      <c r="E7" s="125"/>
      <c r="F7" s="125"/>
      <c r="G7" s="125"/>
      <c r="H7" s="60"/>
      <c r="I7" s="66"/>
    </row>
    <row r="8" spans="1:9">
      <c r="A8" s="65"/>
      <c r="B8" s="6"/>
      <c r="C8" s="6"/>
      <c r="D8" s="6"/>
      <c r="E8" s="125"/>
      <c r="F8" s="125"/>
      <c r="G8" s="125"/>
      <c r="H8" s="60"/>
      <c r="I8" s="66"/>
    </row>
    <row r="9" spans="1:9">
      <c r="A9" s="65"/>
      <c r="B9" s="6"/>
      <c r="C9" s="6"/>
      <c r="D9" s="6"/>
      <c r="E9" s="125"/>
      <c r="F9" s="125"/>
      <c r="G9" s="125"/>
      <c r="H9" s="60"/>
      <c r="I9" s="66"/>
    </row>
    <row r="10" spans="1:9">
      <c r="A10" s="65"/>
      <c r="B10" s="6"/>
      <c r="C10" s="6"/>
      <c r="D10" s="6"/>
      <c r="E10" s="125"/>
      <c r="F10" s="125"/>
      <c r="G10" s="125"/>
      <c r="H10" s="60"/>
      <c r="I10" s="66"/>
    </row>
    <row r="11" spans="1:9">
      <c r="A11" s="65"/>
      <c r="B11" s="6"/>
      <c r="C11" s="6"/>
      <c r="D11" s="6"/>
      <c r="E11" s="125"/>
      <c r="F11" s="125"/>
      <c r="G11" s="125"/>
      <c r="H11" s="60"/>
      <c r="I11" s="66"/>
    </row>
    <row r="12" spans="1:9">
      <c r="A12" s="65"/>
      <c r="B12" s="6"/>
      <c r="C12" s="6"/>
      <c r="D12" s="6"/>
      <c r="E12" s="125"/>
      <c r="F12" s="125"/>
      <c r="G12" s="125"/>
      <c r="H12" s="60"/>
      <c r="I12" s="66"/>
    </row>
    <row r="13" spans="1:9">
      <c r="A13" s="65"/>
      <c r="B13" s="6"/>
      <c r="C13" s="6"/>
      <c r="D13" s="6"/>
      <c r="E13" s="125"/>
      <c r="F13" s="125"/>
      <c r="G13" s="125"/>
      <c r="H13" s="60"/>
      <c r="I13" s="66"/>
    </row>
    <row r="14" spans="1:9">
      <c r="A14" s="65"/>
      <c r="B14" s="6"/>
      <c r="C14" s="6"/>
      <c r="D14" s="6"/>
      <c r="E14" s="125"/>
      <c r="F14" s="125"/>
      <c r="G14" s="125"/>
      <c r="H14" s="60"/>
      <c r="I14" s="66"/>
    </row>
    <row r="15" spans="1:9">
      <c r="A15" s="65"/>
      <c r="B15" s="6"/>
      <c r="C15" s="6"/>
      <c r="D15" s="6"/>
      <c r="E15" s="125"/>
      <c r="F15" s="125"/>
      <c r="G15" s="125"/>
      <c r="H15" s="60"/>
      <c r="I15" s="66"/>
    </row>
    <row r="16" spans="1:9">
      <c r="A16" s="65"/>
      <c r="B16" s="6"/>
      <c r="C16" s="6"/>
      <c r="D16" s="6"/>
      <c r="E16" s="125"/>
      <c r="F16" s="125"/>
      <c r="G16" s="125"/>
      <c r="H16" s="60"/>
      <c r="I16" s="66"/>
    </row>
    <row r="17" spans="1:9">
      <c r="A17" s="65"/>
      <c r="B17" s="6"/>
      <c r="C17" s="6"/>
      <c r="D17" s="6"/>
      <c r="E17" s="125"/>
      <c r="F17" s="125"/>
      <c r="G17" s="125"/>
      <c r="H17" s="60"/>
      <c r="I17" s="66"/>
    </row>
    <row r="18" spans="1:9">
      <c r="A18" s="65"/>
      <c r="B18" s="6"/>
      <c r="C18" s="6"/>
      <c r="D18" s="6"/>
      <c r="E18" s="125"/>
      <c r="F18" s="125"/>
      <c r="G18" s="125"/>
      <c r="H18" s="60"/>
      <c r="I18" s="66"/>
    </row>
    <row r="19" spans="1:9">
      <c r="A19" s="65"/>
      <c r="B19" s="6"/>
      <c r="C19" s="6"/>
      <c r="D19" s="6"/>
      <c r="E19" s="125"/>
      <c r="F19" s="125"/>
      <c r="G19" s="125"/>
      <c r="H19" s="60"/>
      <c r="I19" s="66"/>
    </row>
    <row r="20" spans="1:9">
      <c r="A20" s="65"/>
      <c r="B20" s="6"/>
      <c r="C20" s="6"/>
      <c r="D20" s="6"/>
      <c r="E20" s="125"/>
      <c r="F20" s="125"/>
      <c r="G20" s="125"/>
      <c r="H20" s="60"/>
      <c r="I20" s="66"/>
    </row>
    <row r="21" spans="1:9">
      <c r="A21" s="65"/>
      <c r="B21" s="6"/>
      <c r="C21" s="6"/>
      <c r="D21" s="6"/>
      <c r="E21" s="125"/>
      <c r="F21" s="125"/>
      <c r="G21" s="125"/>
      <c r="H21" s="60"/>
      <c r="I21" s="66"/>
    </row>
    <row r="22" spans="1:9">
      <c r="A22" s="65"/>
      <c r="B22" s="6"/>
      <c r="C22" s="6"/>
      <c r="D22" s="6"/>
      <c r="E22" s="125"/>
      <c r="F22" s="125"/>
      <c r="G22" s="125"/>
      <c r="H22" s="60"/>
      <c r="I22" s="66"/>
    </row>
    <row r="23" spans="1:9">
      <c r="A23" s="65"/>
      <c r="B23" s="6"/>
      <c r="C23" s="6"/>
      <c r="D23" s="6"/>
      <c r="E23" s="125"/>
      <c r="F23" s="125"/>
      <c r="G23" s="125"/>
      <c r="H23" s="60"/>
      <c r="I23" s="66"/>
    </row>
    <row r="24" spans="1:9">
      <c r="A24" s="65"/>
      <c r="B24" s="6"/>
      <c r="C24" s="6"/>
      <c r="D24" s="6"/>
      <c r="E24" s="125"/>
      <c r="F24" s="125"/>
      <c r="G24" s="125"/>
      <c r="H24" s="60"/>
      <c r="I24" s="66"/>
    </row>
    <row r="25" spans="1:9">
      <c r="A25" s="65"/>
      <c r="B25" s="6"/>
      <c r="C25" s="6"/>
      <c r="D25" s="6"/>
      <c r="E25" s="125"/>
      <c r="F25" s="125"/>
      <c r="G25" s="125"/>
      <c r="H25" s="60"/>
      <c r="I25" s="66"/>
    </row>
    <row r="26" spans="1:9">
      <c r="A26" s="65"/>
      <c r="B26" s="6"/>
      <c r="C26" s="6"/>
      <c r="D26" s="6"/>
      <c r="E26" s="125"/>
      <c r="F26" s="125"/>
      <c r="G26" s="125"/>
      <c r="H26" s="60"/>
      <c r="I26" s="66"/>
    </row>
    <row r="27" spans="1:9">
      <c r="A27" s="65"/>
      <c r="B27" s="6"/>
      <c r="C27" s="6"/>
      <c r="D27" s="6"/>
      <c r="E27" s="125"/>
      <c r="F27" s="125"/>
      <c r="G27" s="125"/>
      <c r="H27" s="60"/>
      <c r="I27" s="66"/>
    </row>
    <row r="28" spans="1:9">
      <c r="A28" s="65"/>
      <c r="B28" s="6"/>
      <c r="C28" s="6"/>
      <c r="D28" s="6"/>
      <c r="E28" s="125"/>
      <c r="F28" s="125"/>
      <c r="G28" s="125"/>
      <c r="H28" s="60"/>
      <c r="I28" s="66"/>
    </row>
    <row r="29" spans="1:9">
      <c r="A29" s="65"/>
      <c r="B29" s="6"/>
      <c r="C29" s="6"/>
      <c r="D29" s="6"/>
      <c r="E29" s="125"/>
      <c r="F29" s="125"/>
      <c r="G29" s="125"/>
      <c r="H29" s="60"/>
      <c r="I29" s="66"/>
    </row>
    <row r="30" spans="1:9">
      <c r="A30" s="65"/>
      <c r="B30" s="6"/>
      <c r="C30" s="6"/>
      <c r="D30" s="6"/>
      <c r="E30" s="125"/>
      <c r="F30" s="125"/>
      <c r="G30" s="125"/>
      <c r="H30" s="60"/>
      <c r="I30" s="66"/>
    </row>
    <row r="31" spans="1:9">
      <c r="A31" s="65"/>
      <c r="B31" s="6"/>
      <c r="C31" s="6"/>
      <c r="D31" s="6"/>
      <c r="E31" s="125"/>
      <c r="F31" s="125"/>
      <c r="G31" s="125"/>
      <c r="H31" s="60"/>
      <c r="I31" s="66"/>
    </row>
    <row r="32" spans="1:9">
      <c r="A32" s="65"/>
      <c r="B32" s="6"/>
      <c r="C32" s="6"/>
      <c r="D32" s="6"/>
      <c r="E32" s="125"/>
      <c r="F32" s="125"/>
      <c r="G32" s="125"/>
      <c r="H32" s="60"/>
      <c r="I32" s="66"/>
    </row>
    <row r="33" spans="1:9">
      <c r="A33" s="65"/>
      <c r="B33" s="6"/>
      <c r="C33" s="6"/>
      <c r="D33" s="6"/>
      <c r="E33" s="125"/>
      <c r="F33" s="125"/>
      <c r="G33" s="125"/>
      <c r="H33" s="60"/>
      <c r="I33" s="66"/>
    </row>
    <row r="34" spans="1:9">
      <c r="A34" s="65"/>
      <c r="B34" s="6"/>
      <c r="C34" s="6"/>
      <c r="D34" s="6"/>
      <c r="E34" s="125"/>
      <c r="F34" s="125"/>
      <c r="G34" s="125"/>
      <c r="H34" s="60"/>
      <c r="I34" s="66"/>
    </row>
    <row r="35" spans="1:9">
      <c r="A35" s="65"/>
      <c r="B35" s="6"/>
      <c r="C35" s="6"/>
      <c r="D35" s="6"/>
      <c r="E35" s="125"/>
      <c r="F35" s="125"/>
      <c r="G35" s="125"/>
      <c r="H35" s="60"/>
      <c r="I35" s="66"/>
    </row>
    <row r="36" spans="1:9">
      <c r="A36" s="65"/>
      <c r="B36" s="6"/>
      <c r="C36" s="6"/>
      <c r="D36" s="6"/>
      <c r="E36" s="125"/>
      <c r="F36" s="125"/>
      <c r="G36" s="125"/>
      <c r="H36" s="60"/>
      <c r="I36" s="66"/>
    </row>
    <row r="37" spans="1:9">
      <c r="A37" s="65"/>
      <c r="B37" s="6"/>
      <c r="C37" s="6"/>
      <c r="D37" s="6"/>
      <c r="E37" s="125"/>
      <c r="F37" s="125"/>
      <c r="G37" s="125"/>
      <c r="H37" s="60"/>
      <c r="I37" s="66"/>
    </row>
    <row r="38" spans="1:9">
      <c r="A38" s="65"/>
      <c r="B38" s="6"/>
      <c r="C38" s="6"/>
      <c r="D38" s="6"/>
      <c r="E38" s="125"/>
      <c r="F38" s="125"/>
      <c r="G38" s="125"/>
      <c r="H38" s="60"/>
      <c r="I38" s="66"/>
    </row>
    <row r="39" spans="1:9">
      <c r="A39" s="65"/>
      <c r="B39" s="6"/>
      <c r="C39" s="6"/>
      <c r="D39" s="6"/>
      <c r="E39" s="125"/>
      <c r="F39" s="125"/>
      <c r="G39" s="125"/>
      <c r="H39" s="60"/>
      <c r="I39" s="66"/>
    </row>
    <row r="40" spans="1:9">
      <c r="A40" s="65"/>
      <c r="B40" s="6"/>
      <c r="C40" s="6"/>
      <c r="D40" s="6"/>
      <c r="E40" s="125"/>
      <c r="F40" s="125"/>
      <c r="G40" s="125"/>
      <c r="H40" s="60"/>
      <c r="I40" s="66"/>
    </row>
    <row r="41" spans="1:9">
      <c r="A41" s="65"/>
      <c r="B41" s="6"/>
      <c r="C41" s="6"/>
      <c r="D41" s="6"/>
      <c r="E41" s="125"/>
      <c r="F41" s="125"/>
      <c r="G41" s="125"/>
      <c r="H41" s="60"/>
      <c r="I41" s="66"/>
    </row>
    <row r="42" spans="1:9">
      <c r="A42" s="65"/>
      <c r="B42" s="6"/>
      <c r="C42" s="6"/>
      <c r="D42" s="6"/>
      <c r="E42" s="125"/>
      <c r="F42" s="125"/>
      <c r="G42" s="125"/>
      <c r="H42" s="60"/>
      <c r="I42" s="66"/>
    </row>
    <row r="43" spans="1:9">
      <c r="A43" s="65"/>
      <c r="B43" s="6"/>
      <c r="C43" s="6"/>
      <c r="D43" s="6"/>
      <c r="E43" s="125"/>
      <c r="F43" s="125"/>
      <c r="G43" s="125"/>
      <c r="H43" s="60"/>
      <c r="I43" s="66"/>
    </row>
    <row r="44" spans="1:9">
      <c r="A44" s="65"/>
      <c r="B44" s="6"/>
      <c r="C44" s="6"/>
      <c r="D44" s="6"/>
      <c r="E44" s="125"/>
      <c r="F44" s="125"/>
      <c r="G44" s="125"/>
      <c r="H44" s="60"/>
      <c r="I44" s="66"/>
    </row>
    <row r="45" spans="1:9">
      <c r="A45" s="65"/>
      <c r="B45" s="6"/>
      <c r="C45" s="6"/>
      <c r="D45" s="6"/>
      <c r="E45" s="125"/>
      <c r="F45" s="125"/>
      <c r="G45" s="125"/>
      <c r="H45" s="60"/>
      <c r="I45" s="66"/>
    </row>
    <row r="46" spans="1:9">
      <c r="A46" s="65"/>
      <c r="B46" s="6"/>
      <c r="C46" s="6"/>
      <c r="D46" s="6"/>
      <c r="E46" s="125"/>
      <c r="F46" s="125"/>
      <c r="G46" s="125"/>
      <c r="H46" s="60"/>
      <c r="I46" s="66"/>
    </row>
    <row r="47" spans="1:9">
      <c r="A47" s="65"/>
      <c r="B47" s="6"/>
      <c r="C47" s="6"/>
      <c r="D47" s="6"/>
      <c r="E47" s="125"/>
      <c r="F47" s="125"/>
      <c r="G47" s="125"/>
      <c r="H47" s="60"/>
      <c r="I47" s="66"/>
    </row>
    <row r="48" spans="1:9">
      <c r="A48" s="65"/>
      <c r="B48" s="6"/>
      <c r="C48" s="6"/>
      <c r="D48" s="6"/>
      <c r="E48" s="125"/>
      <c r="F48" s="125"/>
      <c r="G48" s="125"/>
      <c r="H48" s="60"/>
      <c r="I48" s="66"/>
    </row>
    <row r="49" spans="1:9">
      <c r="A49" s="65"/>
      <c r="B49" s="6"/>
      <c r="C49" s="6"/>
      <c r="D49" s="6"/>
      <c r="E49" s="125"/>
      <c r="F49" s="125"/>
      <c r="G49" s="125"/>
      <c r="H49" s="60"/>
      <c r="I49" s="66"/>
    </row>
    <row r="50" spans="1:9">
      <c r="A50" s="65"/>
      <c r="B50" s="6"/>
      <c r="C50" s="6"/>
      <c r="D50" s="6"/>
      <c r="E50" s="125"/>
      <c r="F50" s="125"/>
      <c r="G50" s="125"/>
      <c r="H50" s="60"/>
      <c r="I50" s="66"/>
    </row>
    <row r="51" spans="1:9">
      <c r="A51" s="65"/>
      <c r="B51" s="6"/>
      <c r="C51" s="6"/>
      <c r="D51" s="6"/>
      <c r="E51" s="125"/>
      <c r="F51" s="125"/>
      <c r="G51" s="125"/>
      <c r="H51" s="60"/>
      <c r="I51" s="66"/>
    </row>
    <row r="52" spans="1:9">
      <c r="A52" s="65"/>
      <c r="B52" s="6"/>
      <c r="C52" s="6"/>
      <c r="D52" s="6"/>
      <c r="E52" s="125"/>
      <c r="F52" s="125"/>
      <c r="G52" s="125"/>
      <c r="H52" s="60"/>
      <c r="I52" s="66"/>
    </row>
    <row r="53" spans="1:9">
      <c r="A53" s="65"/>
      <c r="B53" s="6"/>
      <c r="C53" s="6"/>
      <c r="D53" s="6"/>
      <c r="E53" s="125"/>
      <c r="F53" s="125"/>
      <c r="G53" s="125"/>
      <c r="H53" s="60"/>
      <c r="I53" s="66"/>
    </row>
    <row r="54" spans="1:9">
      <c r="A54" s="65"/>
      <c r="B54" s="6"/>
      <c r="C54" s="6"/>
      <c r="D54" s="6"/>
      <c r="E54" s="125"/>
      <c r="F54" s="125"/>
      <c r="G54" s="125"/>
      <c r="H54" s="60"/>
      <c r="I54" s="66"/>
    </row>
    <row r="55" spans="1:9">
      <c r="A55" s="65"/>
      <c r="B55" s="6"/>
      <c r="C55" s="6"/>
      <c r="D55" s="6"/>
      <c r="E55" s="125"/>
      <c r="F55" s="125"/>
      <c r="G55" s="125"/>
      <c r="H55" s="60"/>
      <c r="I55" s="66"/>
    </row>
    <row r="56" spans="1:9">
      <c r="A56" s="65"/>
      <c r="B56" s="6"/>
      <c r="C56" s="6"/>
      <c r="D56" s="6"/>
      <c r="E56" s="125"/>
      <c r="F56" s="125"/>
      <c r="G56" s="125"/>
      <c r="H56" s="60"/>
      <c r="I56" s="66"/>
    </row>
    <row r="57" spans="1:9">
      <c r="A57" s="65"/>
      <c r="B57" s="6"/>
      <c r="C57" s="6"/>
      <c r="D57" s="6"/>
      <c r="E57" s="125"/>
      <c r="F57" s="125"/>
      <c r="G57" s="125"/>
      <c r="H57" s="60"/>
      <c r="I57" s="66"/>
    </row>
    <row r="58" spans="1:9">
      <c r="A58" s="65"/>
      <c r="B58" s="6"/>
      <c r="C58" s="6"/>
      <c r="D58" s="6"/>
      <c r="E58" s="125"/>
      <c r="F58" s="125"/>
      <c r="G58" s="125"/>
      <c r="H58" s="60"/>
      <c r="I58" s="66"/>
    </row>
    <row r="59" spans="1:9">
      <c r="A59" s="65"/>
      <c r="B59" s="6"/>
      <c r="C59" s="6"/>
      <c r="D59" s="6"/>
      <c r="E59" s="125"/>
      <c r="F59" s="125"/>
      <c r="G59" s="125"/>
      <c r="H59" s="60"/>
      <c r="I59" s="66"/>
    </row>
    <row r="60" spans="1:9">
      <c r="A60" s="65"/>
      <c r="B60" s="6"/>
      <c r="C60" s="6"/>
      <c r="D60" s="6"/>
      <c r="E60" s="125"/>
      <c r="F60" s="125"/>
      <c r="G60" s="125"/>
      <c r="H60" s="60"/>
      <c r="I60" s="66"/>
    </row>
    <row r="61" spans="1:9">
      <c r="A61" s="65"/>
      <c r="B61" s="6"/>
      <c r="C61" s="6"/>
      <c r="D61" s="6"/>
      <c r="E61" s="125"/>
      <c r="F61" s="125"/>
      <c r="G61" s="125"/>
      <c r="H61" s="60"/>
      <c r="I61" s="66"/>
    </row>
    <row r="62" spans="1:9">
      <c r="A62" s="65"/>
      <c r="B62" s="6"/>
      <c r="C62" s="6"/>
      <c r="D62" s="6"/>
      <c r="E62" s="125"/>
      <c r="F62" s="125"/>
      <c r="G62" s="125"/>
      <c r="H62" s="60"/>
      <c r="I62" s="66"/>
    </row>
    <row r="63" spans="1:9">
      <c r="A63" s="65"/>
      <c r="B63" s="6"/>
      <c r="C63" s="6"/>
      <c r="D63" s="6"/>
      <c r="E63" s="125"/>
      <c r="F63" s="125"/>
      <c r="G63" s="125"/>
      <c r="H63" s="60"/>
      <c r="I63" s="66"/>
    </row>
    <row r="64" spans="1:9">
      <c r="A64" s="65"/>
      <c r="B64" s="6"/>
      <c r="C64" s="6"/>
      <c r="D64" s="6"/>
      <c r="E64" s="125"/>
      <c r="F64" s="125"/>
      <c r="G64" s="125"/>
      <c r="H64" s="60"/>
      <c r="I64" s="66"/>
    </row>
    <row r="65" spans="1:9">
      <c r="A65" s="65"/>
      <c r="B65" s="6"/>
      <c r="C65" s="6"/>
      <c r="D65" s="6"/>
      <c r="E65" s="125"/>
      <c r="F65" s="125"/>
      <c r="G65" s="125"/>
      <c r="H65" s="60"/>
      <c r="I65" s="66"/>
    </row>
    <row r="66" spans="1:9">
      <c r="A66" s="65"/>
      <c r="B66" s="6"/>
      <c r="C66" s="6"/>
      <c r="D66" s="6"/>
      <c r="E66" s="125"/>
      <c r="F66" s="125"/>
      <c r="G66" s="125"/>
      <c r="H66" s="60"/>
      <c r="I66" s="66"/>
    </row>
    <row r="67" spans="1:9">
      <c r="A67" s="65"/>
      <c r="B67" s="6"/>
      <c r="C67" s="6"/>
      <c r="D67" s="6"/>
      <c r="E67" s="125"/>
      <c r="F67" s="125"/>
      <c r="G67" s="125"/>
      <c r="H67" s="60"/>
      <c r="I67" s="66"/>
    </row>
    <row r="68" spans="1:9">
      <c r="A68" s="65"/>
      <c r="B68" s="6"/>
      <c r="C68" s="6"/>
      <c r="D68" s="6"/>
      <c r="E68" s="125"/>
      <c r="F68" s="125"/>
      <c r="G68" s="125"/>
      <c r="H68" s="60"/>
      <c r="I68" s="66"/>
    </row>
    <row r="69" spans="1:9">
      <c r="A69" s="65"/>
      <c r="B69" s="6"/>
      <c r="C69" s="6"/>
      <c r="D69" s="6"/>
      <c r="E69" s="125"/>
      <c r="F69" s="125"/>
      <c r="G69" s="125"/>
      <c r="H69" s="60"/>
      <c r="I69" s="66"/>
    </row>
    <row r="70" spans="1:9">
      <c r="A70" s="65"/>
      <c r="B70" s="6"/>
      <c r="C70" s="6"/>
      <c r="D70" s="6"/>
      <c r="E70" s="125"/>
      <c r="F70" s="125"/>
      <c r="G70" s="125"/>
      <c r="H70" s="60"/>
      <c r="I70" s="66"/>
    </row>
    <row r="71" spans="1:9">
      <c r="A71" s="65"/>
      <c r="B71" s="6"/>
      <c r="C71" s="6"/>
      <c r="D71" s="6"/>
      <c r="E71" s="125"/>
      <c r="F71" s="125"/>
      <c r="G71" s="125"/>
      <c r="H71" s="60"/>
      <c r="I71" s="66"/>
    </row>
    <row r="72" spans="1:9">
      <c r="A72" s="65"/>
      <c r="B72" s="6"/>
      <c r="C72" s="6"/>
      <c r="D72" s="6"/>
      <c r="E72" s="125"/>
      <c r="F72" s="125"/>
      <c r="G72" s="125"/>
      <c r="H72" s="60"/>
      <c r="I72" s="66"/>
    </row>
    <row r="73" spans="1:9">
      <c r="A73" s="65"/>
      <c r="B73" s="6"/>
      <c r="C73" s="6"/>
      <c r="D73" s="6"/>
      <c r="E73" s="125"/>
      <c r="F73" s="125"/>
      <c r="G73" s="125"/>
      <c r="H73" s="60"/>
      <c r="I73" s="66"/>
    </row>
    <row r="74" spans="1:9">
      <c r="A74" s="65"/>
      <c r="B74" s="6"/>
      <c r="C74" s="6"/>
      <c r="D74" s="6"/>
      <c r="E74" s="125"/>
      <c r="F74" s="125"/>
      <c r="G74" s="125"/>
      <c r="H74" s="60"/>
      <c r="I74" s="66"/>
    </row>
    <row r="75" spans="1:9">
      <c r="A75" s="65"/>
      <c r="B75" s="6"/>
      <c r="C75" s="6"/>
      <c r="D75" s="6"/>
      <c r="E75" s="125"/>
      <c r="F75" s="125"/>
      <c r="G75" s="125"/>
      <c r="H75" s="60"/>
      <c r="I75" s="66"/>
    </row>
    <row r="76" spans="1:9">
      <c r="A76" s="65"/>
      <c r="B76" s="6"/>
      <c r="C76" s="6"/>
      <c r="D76" s="6"/>
      <c r="E76" s="125"/>
      <c r="F76" s="125"/>
      <c r="G76" s="125"/>
      <c r="H76" s="60"/>
      <c r="I76" s="66"/>
    </row>
    <row r="77" spans="1:9">
      <c r="A77" s="65"/>
      <c r="B77" s="6"/>
      <c r="C77" s="6"/>
      <c r="D77" s="6"/>
      <c r="E77" s="125"/>
      <c r="F77" s="125"/>
      <c r="G77" s="125"/>
      <c r="H77" s="60"/>
      <c r="I77" s="66"/>
    </row>
    <row r="78" spans="1:9">
      <c r="A78" s="65"/>
      <c r="B78" s="6"/>
      <c r="C78" s="6"/>
      <c r="D78" s="6"/>
      <c r="E78" s="125"/>
      <c r="F78" s="125"/>
      <c r="G78" s="125"/>
      <c r="H78" s="60"/>
      <c r="I78" s="66"/>
    </row>
    <row r="79" spans="1:9">
      <c r="A79" s="65"/>
      <c r="B79" s="6"/>
      <c r="C79" s="6"/>
      <c r="D79" s="6"/>
      <c r="E79" s="125"/>
      <c r="F79" s="125"/>
      <c r="G79" s="125"/>
      <c r="H79" s="60"/>
      <c r="I79" s="66"/>
    </row>
    <row r="80" spans="1:9">
      <c r="A80" s="65"/>
      <c r="B80" s="6"/>
      <c r="C80" s="6"/>
      <c r="D80" s="6"/>
      <c r="E80" s="125"/>
      <c r="F80" s="125"/>
      <c r="G80" s="125"/>
      <c r="H80" s="60"/>
      <c r="I80" s="66"/>
    </row>
    <row r="81" spans="1:9">
      <c r="A81" s="65"/>
      <c r="B81" s="6"/>
      <c r="C81" s="6"/>
      <c r="D81" s="6"/>
      <c r="E81" s="125"/>
      <c r="F81" s="125"/>
      <c r="G81" s="125"/>
      <c r="H81" s="60"/>
      <c r="I81" s="66"/>
    </row>
    <row r="82" spans="1:9">
      <c r="A82" s="65"/>
      <c r="B82" s="6"/>
      <c r="C82" s="6"/>
      <c r="D82" s="6"/>
      <c r="E82" s="125"/>
      <c r="F82" s="125"/>
      <c r="G82" s="125"/>
      <c r="H82" s="60"/>
      <c r="I82" s="66"/>
    </row>
    <row r="83" spans="1:9">
      <c r="A83" s="65"/>
      <c r="B83" s="6"/>
      <c r="C83" s="6"/>
      <c r="D83" s="6"/>
      <c r="E83" s="125"/>
      <c r="F83" s="125"/>
      <c r="G83" s="125"/>
      <c r="H83" s="60"/>
      <c r="I83" s="66"/>
    </row>
    <row r="84" spans="1:9">
      <c r="A84" s="65"/>
      <c r="B84" s="6"/>
      <c r="C84" s="6"/>
      <c r="D84" s="6"/>
      <c r="E84" s="125"/>
      <c r="F84" s="125"/>
      <c r="G84" s="125"/>
      <c r="H84" s="60"/>
      <c r="I84" s="66"/>
    </row>
    <row r="85" spans="1:9">
      <c r="A85" s="65"/>
      <c r="B85" s="6"/>
      <c r="C85" s="6"/>
      <c r="D85" s="6"/>
      <c r="E85" s="125"/>
      <c r="F85" s="125"/>
      <c r="G85" s="125"/>
      <c r="H85" s="60"/>
      <c r="I85" s="66"/>
    </row>
    <row r="86" spans="1:9">
      <c r="A86" s="65"/>
      <c r="B86" s="6"/>
      <c r="C86" s="6"/>
      <c r="D86" s="6"/>
      <c r="E86" s="125"/>
      <c r="F86" s="125"/>
      <c r="G86" s="125"/>
      <c r="H86" s="60"/>
      <c r="I86" s="66"/>
    </row>
    <row r="87" spans="1:9">
      <c r="A87" s="65"/>
      <c r="B87" s="6"/>
      <c r="C87" s="6"/>
      <c r="D87" s="6"/>
      <c r="E87" s="125"/>
      <c r="F87" s="125"/>
      <c r="G87" s="125"/>
      <c r="H87" s="60"/>
      <c r="I87" s="66"/>
    </row>
    <row r="88" spans="1:9">
      <c r="A88" s="65"/>
      <c r="B88" s="6"/>
      <c r="C88" s="6"/>
      <c r="D88" s="6"/>
      <c r="E88" s="125"/>
      <c r="F88" s="125"/>
      <c r="G88" s="125"/>
      <c r="H88" s="60"/>
      <c r="I88" s="66"/>
    </row>
    <row r="89" spans="1:9">
      <c r="A89" s="65"/>
      <c r="B89" s="6"/>
      <c r="C89" s="6"/>
      <c r="D89" s="6"/>
      <c r="E89" s="125"/>
      <c r="F89" s="125"/>
      <c r="G89" s="125"/>
      <c r="H89" s="60"/>
      <c r="I89" s="66"/>
    </row>
    <row r="90" spans="1:9">
      <c r="A90" s="65"/>
      <c r="B90" s="6"/>
      <c r="C90" s="6"/>
      <c r="D90" s="6"/>
      <c r="E90" s="125"/>
      <c r="F90" s="125"/>
      <c r="G90" s="125"/>
      <c r="H90" s="60"/>
      <c r="I90" s="66"/>
    </row>
    <row r="91" spans="1:9">
      <c r="A91" s="65"/>
      <c r="B91" s="6"/>
      <c r="C91" s="6"/>
      <c r="D91" s="6"/>
      <c r="E91" s="125"/>
      <c r="F91" s="125"/>
      <c r="G91" s="125"/>
      <c r="H91" s="60"/>
      <c r="I91" s="66"/>
    </row>
    <row r="92" spans="1:9">
      <c r="A92" s="65"/>
      <c r="B92" s="6"/>
      <c r="C92" s="6"/>
      <c r="D92" s="6"/>
      <c r="E92" s="125"/>
      <c r="F92" s="125"/>
      <c r="G92" s="125"/>
      <c r="H92" s="60"/>
      <c r="I92" s="66"/>
    </row>
    <row r="93" spans="1:9">
      <c r="A93" s="65"/>
      <c r="B93" s="6"/>
      <c r="C93" s="6"/>
      <c r="D93" s="6"/>
      <c r="E93" s="125"/>
      <c r="F93" s="125"/>
      <c r="G93" s="125"/>
      <c r="H93" s="60"/>
      <c r="I93" s="66"/>
    </row>
    <row r="94" spans="1:9">
      <c r="A94" s="65"/>
      <c r="B94" s="6"/>
      <c r="C94" s="6"/>
      <c r="D94" s="6"/>
      <c r="E94" s="125"/>
      <c r="F94" s="125"/>
      <c r="G94" s="125"/>
      <c r="H94" s="60"/>
      <c r="I94" s="66"/>
    </row>
    <row r="95" spans="1:9">
      <c r="A95" s="65"/>
      <c r="B95" s="6"/>
      <c r="C95" s="6"/>
      <c r="D95" s="6"/>
      <c r="E95" s="125"/>
      <c r="F95" s="125"/>
      <c r="G95" s="125"/>
      <c r="H95" s="60"/>
      <c r="I95" s="66"/>
    </row>
    <row r="96" spans="1:9">
      <c r="A96" s="65"/>
      <c r="B96" s="6"/>
      <c r="C96" s="6"/>
      <c r="D96" s="6"/>
      <c r="E96" s="125"/>
      <c r="F96" s="125"/>
      <c r="G96" s="125"/>
      <c r="H96" s="60"/>
      <c r="I96" s="66"/>
    </row>
    <row r="97" spans="1:9">
      <c r="A97" s="65"/>
      <c r="B97" s="6"/>
      <c r="C97" s="6"/>
      <c r="D97" s="6"/>
      <c r="E97" s="125"/>
      <c r="F97" s="125"/>
      <c r="G97" s="125"/>
      <c r="H97" s="60"/>
      <c r="I97" s="66"/>
    </row>
    <row r="98" spans="1:9">
      <c r="A98" s="65"/>
      <c r="B98" s="6"/>
      <c r="C98" s="6"/>
      <c r="D98" s="6"/>
      <c r="E98" s="125"/>
      <c r="F98" s="125"/>
      <c r="G98" s="125"/>
      <c r="H98" s="60"/>
      <c r="I98" s="66"/>
    </row>
    <row r="99" spans="1:9">
      <c r="A99" s="65"/>
      <c r="B99" s="6"/>
      <c r="C99" s="6"/>
      <c r="D99" s="6"/>
      <c r="E99" s="125"/>
      <c r="F99" s="125"/>
      <c r="G99" s="125"/>
      <c r="H99" s="60"/>
      <c r="I99" s="66"/>
    </row>
    <row r="100" spans="1:9">
      <c r="A100" s="65"/>
      <c r="B100" s="6"/>
      <c r="C100" s="6"/>
      <c r="D100" s="6"/>
      <c r="E100" s="125"/>
      <c r="F100" s="125"/>
      <c r="G100" s="125"/>
      <c r="H100" s="60"/>
      <c r="I100" s="66"/>
    </row>
    <row r="101" spans="1:9">
      <c r="A101" s="67"/>
      <c r="B101" s="68"/>
      <c r="C101" s="68"/>
      <c r="D101" s="68"/>
      <c r="E101" s="126"/>
      <c r="F101" s="126"/>
      <c r="G101" s="126"/>
      <c r="H101" s="69"/>
      <c r="I101" s="70"/>
    </row>
  </sheetData>
  <dataValidations count="3">
    <dataValidation type="list" allowBlank="1" showInputMessage="1" showErrorMessage="1" sqref="H2:H101" xr:uid="{06FD1C4F-B3CB-4687-AD30-FA5CEEE41885}">
      <formula1>Lookup3</formula1>
    </dataValidation>
    <dataValidation type="list" allowBlank="1" showInputMessage="1" showErrorMessage="1" sqref="D2:D101" xr:uid="{01E43438-302D-4AF9-8560-9E5A9A41C79D}">
      <formula1>Lookup1</formula1>
    </dataValidation>
    <dataValidation type="list" allowBlank="1" showInputMessage="1" showErrorMessage="1" sqref="B2:B101" xr:uid="{C23FA5C6-2BEC-4A79-B202-5CEE5B4AD52F}">
      <formula1>Lookup2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1AC5D-EB4A-463D-9267-112F37ED5FA5}">
  <dimension ref="A1:L104"/>
  <sheetViews>
    <sheetView zoomScaleNormal="100" workbookViewId="0">
      <selection activeCell="F17" sqref="F17"/>
    </sheetView>
  </sheetViews>
  <sheetFormatPr defaultColWidth="80.7109375" defaultRowHeight="22.5"/>
  <cols>
    <col min="1" max="1" width="31.42578125" style="11" customWidth="1"/>
    <col min="2" max="2" width="58.42578125" style="11" customWidth="1"/>
    <col min="3" max="3" width="58.140625" style="11" customWidth="1"/>
    <col min="4" max="4" width="24.85546875" style="11" bestFit="1" customWidth="1"/>
    <col min="5" max="5" width="20.7109375" style="11" bestFit="1" customWidth="1"/>
    <col min="6" max="6" width="20.7109375" style="11" customWidth="1"/>
    <col min="7" max="7" width="42.42578125" style="11" customWidth="1"/>
    <col min="8" max="8" width="30" style="11" bestFit="1" customWidth="1"/>
    <col min="9" max="9" width="30" style="11" customWidth="1"/>
    <col min="10" max="10" width="20.5703125" style="11" bestFit="1" customWidth="1"/>
    <col min="11" max="11" width="56.28515625" style="11" customWidth="1"/>
    <col min="12" max="12" width="80.7109375" style="14"/>
    <col min="13" max="16384" width="80.7109375" style="11"/>
  </cols>
  <sheetData>
    <row r="1" spans="1:12" ht="24" thickTop="1" thickBot="1">
      <c r="A1" s="74" t="s">
        <v>21</v>
      </c>
      <c r="B1" s="75" t="s">
        <v>22</v>
      </c>
      <c r="C1" s="76" t="s">
        <v>23</v>
      </c>
      <c r="D1" s="77" t="s">
        <v>24</v>
      </c>
      <c r="G1" s="12"/>
      <c r="H1" s="12"/>
      <c r="I1" s="12"/>
      <c r="K1" s="13"/>
    </row>
    <row r="2" spans="1:12" ht="23.25" thickTop="1">
      <c r="A2" s="78" t="s">
        <v>25</v>
      </c>
      <c r="B2" s="83">
        <f>COUNTIF(G12:G50,A2)</f>
        <v>0</v>
      </c>
      <c r="C2" s="88" t="s">
        <v>26</v>
      </c>
      <c r="D2" s="89">
        <f>COUNTIF(E12:E50,"Critical")</f>
        <v>1</v>
      </c>
      <c r="G2" s="15"/>
      <c r="H2" s="15"/>
      <c r="I2" s="15"/>
      <c r="K2" s="13"/>
    </row>
    <row r="3" spans="1:12">
      <c r="A3" s="79" t="s">
        <v>27</v>
      </c>
      <c r="B3" s="84">
        <f>COUNTIF(G12:G50,A3)</f>
        <v>0</v>
      </c>
      <c r="C3" s="90" t="s">
        <v>28</v>
      </c>
      <c r="D3" s="91">
        <f>COUNTIF(E12:E50,"High")</f>
        <v>0</v>
      </c>
      <c r="G3" s="15"/>
      <c r="H3" s="15"/>
      <c r="I3" s="15"/>
      <c r="K3" s="13"/>
    </row>
    <row r="4" spans="1:12">
      <c r="A4" s="79" t="s">
        <v>29</v>
      </c>
      <c r="B4" s="84">
        <f>COUNTIF(G12:G50,A4)</f>
        <v>0</v>
      </c>
      <c r="C4" s="90" t="s">
        <v>30</v>
      </c>
      <c r="D4" s="92">
        <f>COUNTIF(E12:E50,"Medium")</f>
        <v>0</v>
      </c>
      <c r="G4" s="15"/>
      <c r="H4" s="15"/>
      <c r="I4" s="15"/>
      <c r="K4" s="13"/>
    </row>
    <row r="5" spans="1:12">
      <c r="A5" s="80" t="s">
        <v>31</v>
      </c>
      <c r="B5" s="85">
        <f>COUNTIF(G12:G50,A5)</f>
        <v>0</v>
      </c>
      <c r="C5" s="90" t="s">
        <v>32</v>
      </c>
      <c r="D5" s="93">
        <f>COUNTIF(E12:E50,"Low")</f>
        <v>0</v>
      </c>
      <c r="G5" s="15"/>
      <c r="H5" s="15"/>
      <c r="I5" s="15"/>
      <c r="K5" s="13"/>
    </row>
    <row r="6" spans="1:12" ht="23.25" thickBot="1">
      <c r="A6" s="80" t="s">
        <v>33</v>
      </c>
      <c r="B6" s="85">
        <f>COUNTIF(G12:G50,A6)</f>
        <v>0</v>
      </c>
      <c r="C6" s="94" t="s">
        <v>34</v>
      </c>
      <c r="D6" s="95">
        <f>COUNTIF(E12:E50,"Information")</f>
        <v>0</v>
      </c>
      <c r="G6" s="16"/>
      <c r="H6" s="16"/>
      <c r="I6" s="16"/>
      <c r="K6" s="13"/>
    </row>
    <row r="7" spans="1:12" ht="24" thickTop="1" thickBot="1">
      <c r="A7" s="79" t="s">
        <v>35</v>
      </c>
      <c r="B7" s="84">
        <f>COUNTIF(G12:G50,A7)</f>
        <v>0</v>
      </c>
      <c r="C7" s="96" t="s">
        <v>36</v>
      </c>
      <c r="D7" s="97">
        <f>SUM(D2:D6)</f>
        <v>1</v>
      </c>
      <c r="G7" s="16"/>
      <c r="H7" s="16"/>
      <c r="I7" s="16"/>
      <c r="K7" s="13"/>
    </row>
    <row r="8" spans="1:12" ht="24" thickTop="1" thickBot="1">
      <c r="A8" s="81" t="s">
        <v>37</v>
      </c>
      <c r="B8" s="86">
        <f>COUNTIF(G12:G50,A8)</f>
        <v>0</v>
      </c>
      <c r="C8" s="17"/>
      <c r="D8" s="15"/>
      <c r="G8" s="16"/>
      <c r="H8" s="16"/>
      <c r="I8" s="16"/>
      <c r="K8" s="13"/>
    </row>
    <row r="9" spans="1:12" ht="24" thickTop="1" thickBot="1">
      <c r="A9" s="82" t="s">
        <v>38</v>
      </c>
      <c r="B9" s="87">
        <f>SUM(B2:B5)</f>
        <v>0</v>
      </c>
      <c r="C9" s="17"/>
      <c r="D9" s="15"/>
      <c r="G9" s="16"/>
      <c r="H9" s="16"/>
      <c r="I9" s="16"/>
      <c r="K9" s="13"/>
    </row>
    <row r="10" spans="1:12" ht="24" thickTop="1" thickBot="1">
      <c r="A10" s="18"/>
      <c r="B10" s="19"/>
      <c r="C10" s="16"/>
      <c r="D10" s="16"/>
      <c r="E10" s="20"/>
      <c r="F10" s="15"/>
      <c r="G10" s="16"/>
      <c r="H10" s="16"/>
      <c r="I10" s="16"/>
      <c r="J10" s="13"/>
      <c r="K10" s="13"/>
    </row>
    <row r="11" spans="1:12" ht="17.25" thickTop="1" thickBot="1">
      <c r="A11" s="98" t="s">
        <v>39</v>
      </c>
      <c r="B11" s="99" t="s">
        <v>40</v>
      </c>
      <c r="C11" s="99" t="s">
        <v>41</v>
      </c>
      <c r="D11" s="99" t="s">
        <v>8</v>
      </c>
      <c r="E11" s="100" t="s">
        <v>42</v>
      </c>
      <c r="F11" s="100" t="s">
        <v>43</v>
      </c>
      <c r="G11" s="99" t="s">
        <v>21</v>
      </c>
      <c r="H11" s="99" t="s">
        <v>44</v>
      </c>
      <c r="I11" s="99" t="s">
        <v>45</v>
      </c>
      <c r="J11" s="101" t="s">
        <v>46</v>
      </c>
      <c r="K11" s="102" t="s">
        <v>47</v>
      </c>
      <c r="L11" s="103"/>
    </row>
    <row r="12" spans="1:12" ht="16.5" thickTop="1">
      <c r="A12" s="104">
        <v>1234</v>
      </c>
      <c r="B12" s="105" t="s">
        <v>48</v>
      </c>
      <c r="C12" s="105" t="s">
        <v>49</v>
      </c>
      <c r="D12" s="105" t="s">
        <v>50</v>
      </c>
      <c r="E12" s="106" t="s">
        <v>26</v>
      </c>
      <c r="F12" s="106">
        <v>9.8000000000000007</v>
      </c>
      <c r="G12" s="107" t="s">
        <v>51</v>
      </c>
      <c r="H12" s="105" t="s">
        <v>52</v>
      </c>
      <c r="I12" s="105" t="s">
        <v>53</v>
      </c>
      <c r="J12" s="108">
        <v>44042</v>
      </c>
      <c r="K12" s="105" t="s">
        <v>54</v>
      </c>
      <c r="L12" s="103"/>
    </row>
    <row r="13" spans="1:12">
      <c r="A13" s="21"/>
      <c r="B13" s="22"/>
      <c r="C13" s="22"/>
      <c r="D13" s="22"/>
      <c r="E13" s="23"/>
      <c r="F13" s="23"/>
      <c r="G13" s="24"/>
      <c r="H13" s="22"/>
      <c r="I13" s="22"/>
      <c r="J13" s="25"/>
      <c r="K13" s="22"/>
    </row>
    <row r="14" spans="1:12">
      <c r="A14" s="21"/>
      <c r="B14" s="22"/>
      <c r="C14" s="22"/>
      <c r="D14" s="22"/>
      <c r="E14" s="23"/>
      <c r="F14" s="23"/>
      <c r="G14" s="24"/>
      <c r="H14" s="22"/>
      <c r="I14" s="22"/>
      <c r="J14" s="25"/>
      <c r="K14" s="22"/>
    </row>
    <row r="15" spans="1:12">
      <c r="A15" s="21"/>
      <c r="B15" s="22"/>
      <c r="C15" s="22"/>
      <c r="D15" s="22"/>
      <c r="E15" s="23"/>
      <c r="F15" s="23"/>
      <c r="G15" s="24"/>
      <c r="H15" s="22"/>
      <c r="I15" s="22"/>
      <c r="J15" s="25"/>
      <c r="K15" s="22"/>
    </row>
    <row r="16" spans="1:12">
      <c r="A16" s="21"/>
      <c r="B16" s="22"/>
      <c r="C16" s="22"/>
      <c r="D16" s="22"/>
      <c r="E16" s="23"/>
      <c r="F16" s="23"/>
      <c r="G16" s="24"/>
      <c r="H16" s="22"/>
      <c r="I16" s="22"/>
      <c r="J16" s="25"/>
      <c r="K16" s="22"/>
    </row>
    <row r="17" spans="1:11">
      <c r="A17" s="21"/>
      <c r="B17" s="22"/>
      <c r="C17" s="22"/>
      <c r="D17" s="22"/>
      <c r="E17" s="23"/>
      <c r="F17" s="23"/>
      <c r="G17" s="24"/>
      <c r="H17" s="22"/>
      <c r="I17" s="22"/>
      <c r="J17" s="25"/>
      <c r="K17" s="22"/>
    </row>
    <row r="18" spans="1:11">
      <c r="A18" s="21"/>
      <c r="B18" s="22"/>
      <c r="C18" s="22"/>
      <c r="D18" s="22"/>
      <c r="E18" s="23"/>
      <c r="F18" s="23"/>
      <c r="G18" s="24"/>
      <c r="H18" s="22"/>
      <c r="I18" s="22"/>
      <c r="J18" s="25"/>
      <c r="K18" s="22"/>
    </row>
    <row r="19" spans="1:11">
      <c r="A19" s="21"/>
      <c r="B19" s="22"/>
      <c r="C19" s="22"/>
      <c r="D19" s="22"/>
      <c r="E19" s="23"/>
      <c r="F19" s="23"/>
      <c r="G19" s="24"/>
      <c r="H19" s="22"/>
      <c r="I19" s="22"/>
      <c r="J19" s="25"/>
      <c r="K19" s="22"/>
    </row>
    <row r="20" spans="1:11">
      <c r="A20" s="21"/>
      <c r="B20" s="22"/>
      <c r="C20" s="22"/>
      <c r="D20" s="22"/>
      <c r="E20" s="23"/>
      <c r="F20" s="23"/>
      <c r="G20" s="24"/>
      <c r="H20" s="22"/>
      <c r="I20" s="22"/>
      <c r="J20" s="25"/>
      <c r="K20" s="22"/>
    </row>
    <row r="21" spans="1:11">
      <c r="A21" s="21"/>
      <c r="B21" s="22"/>
      <c r="C21" s="22"/>
      <c r="D21" s="22"/>
      <c r="E21" s="23"/>
      <c r="F21" s="23"/>
      <c r="G21" s="24"/>
      <c r="H21" s="22"/>
      <c r="I21" s="22"/>
      <c r="J21" s="25"/>
      <c r="K21" s="22"/>
    </row>
    <row r="22" spans="1:11">
      <c r="A22" s="21"/>
      <c r="B22" s="22"/>
      <c r="C22" s="22"/>
      <c r="D22" s="22"/>
      <c r="E22" s="23"/>
      <c r="F22" s="23"/>
      <c r="G22" s="24"/>
      <c r="H22" s="22"/>
      <c r="I22" s="22"/>
      <c r="J22" s="25"/>
      <c r="K22" s="22"/>
    </row>
    <row r="23" spans="1:11">
      <c r="A23" s="21"/>
      <c r="B23" s="22"/>
      <c r="C23" s="22"/>
      <c r="D23" s="22"/>
      <c r="E23" s="23"/>
      <c r="F23" s="23"/>
      <c r="G23" s="24"/>
      <c r="H23" s="22"/>
      <c r="I23" s="22"/>
      <c r="J23" s="25"/>
      <c r="K23" s="22"/>
    </row>
    <row r="24" spans="1:11">
      <c r="A24" s="21"/>
      <c r="B24" s="22"/>
      <c r="C24" s="22"/>
      <c r="D24" s="22"/>
      <c r="E24" s="23"/>
      <c r="F24" s="23"/>
      <c r="G24" s="24"/>
      <c r="H24" s="22"/>
      <c r="I24" s="22"/>
      <c r="J24" s="25"/>
      <c r="K24" s="22"/>
    </row>
    <row r="25" spans="1:11">
      <c r="A25" s="21"/>
      <c r="B25" s="22"/>
      <c r="C25" s="22"/>
      <c r="D25" s="22"/>
      <c r="E25" s="23"/>
      <c r="F25" s="23"/>
      <c r="G25" s="24"/>
      <c r="H25" s="22"/>
      <c r="I25" s="22"/>
      <c r="J25" s="25"/>
      <c r="K25" s="22"/>
    </row>
    <row r="26" spans="1:11">
      <c r="A26" s="21"/>
      <c r="B26" s="22"/>
      <c r="C26" s="22"/>
      <c r="D26" s="22"/>
      <c r="E26" s="23"/>
      <c r="F26" s="23"/>
      <c r="G26" s="24"/>
      <c r="H26" s="22"/>
      <c r="I26" s="22"/>
      <c r="J26" s="25"/>
      <c r="K26" s="22"/>
    </row>
    <row r="27" spans="1:11">
      <c r="A27" s="21"/>
      <c r="B27" s="22"/>
      <c r="C27" s="22"/>
      <c r="D27" s="22"/>
      <c r="E27" s="23"/>
      <c r="F27" s="23"/>
      <c r="G27" s="24"/>
      <c r="H27" s="22"/>
      <c r="I27" s="22"/>
      <c r="J27" s="25"/>
      <c r="K27" s="22"/>
    </row>
    <row r="28" spans="1:11">
      <c r="A28" s="21"/>
      <c r="B28" s="22"/>
      <c r="C28" s="22"/>
      <c r="D28" s="22"/>
      <c r="E28" s="23"/>
      <c r="F28" s="23"/>
      <c r="G28" s="24"/>
      <c r="H28" s="22"/>
      <c r="I28" s="22"/>
      <c r="J28" s="25"/>
      <c r="K28" s="22"/>
    </row>
    <row r="29" spans="1:11">
      <c r="A29" s="21"/>
      <c r="B29" s="22"/>
      <c r="C29" s="22"/>
      <c r="D29" s="22"/>
      <c r="E29" s="23"/>
      <c r="F29" s="23"/>
      <c r="G29" s="24"/>
      <c r="H29" s="22"/>
      <c r="I29" s="22"/>
      <c r="J29" s="25"/>
      <c r="K29" s="22"/>
    </row>
    <row r="30" spans="1:11">
      <c r="A30" s="21"/>
      <c r="B30" s="22"/>
      <c r="C30" s="22"/>
      <c r="D30" s="22"/>
      <c r="E30" s="23"/>
      <c r="F30" s="23"/>
      <c r="G30" s="24"/>
      <c r="H30" s="22"/>
      <c r="I30" s="22"/>
      <c r="J30" s="25"/>
      <c r="K30" s="22"/>
    </row>
    <row r="31" spans="1:11">
      <c r="A31" s="21"/>
      <c r="B31" s="22"/>
      <c r="C31" s="22"/>
      <c r="D31" s="22"/>
      <c r="E31" s="23"/>
      <c r="F31" s="23"/>
      <c r="G31" s="24"/>
      <c r="H31" s="22"/>
      <c r="I31" s="22"/>
      <c r="J31" s="25"/>
      <c r="K31" s="22"/>
    </row>
    <row r="32" spans="1:11">
      <c r="A32" s="21"/>
      <c r="B32" s="22"/>
      <c r="C32" s="22"/>
      <c r="D32" s="22"/>
      <c r="E32" s="23"/>
      <c r="F32" s="23"/>
      <c r="G32" s="24"/>
      <c r="H32" s="22"/>
      <c r="I32" s="22"/>
      <c r="J32" s="25"/>
      <c r="K32" s="22"/>
    </row>
    <row r="33" spans="1:11">
      <c r="A33" s="21"/>
      <c r="B33" s="22"/>
      <c r="C33" s="22"/>
      <c r="D33" s="22"/>
      <c r="E33" s="23"/>
      <c r="F33" s="23"/>
      <c r="G33" s="24"/>
      <c r="H33" s="22"/>
      <c r="I33" s="22"/>
      <c r="J33" s="25"/>
      <c r="K33" s="22"/>
    </row>
    <row r="34" spans="1:11">
      <c r="A34" s="21"/>
      <c r="B34" s="22"/>
      <c r="C34" s="22"/>
      <c r="D34" s="22"/>
      <c r="E34" s="23"/>
      <c r="F34" s="23"/>
      <c r="G34" s="24"/>
      <c r="H34" s="22"/>
      <c r="I34" s="22"/>
      <c r="J34" s="25"/>
      <c r="K34" s="22"/>
    </row>
    <row r="35" spans="1:11">
      <c r="A35" s="21"/>
      <c r="B35" s="22"/>
      <c r="C35" s="22"/>
      <c r="D35" s="22"/>
      <c r="E35" s="23"/>
      <c r="F35" s="23"/>
      <c r="G35" s="24"/>
      <c r="H35" s="22"/>
      <c r="I35" s="22"/>
      <c r="J35" s="25"/>
      <c r="K35" s="22"/>
    </row>
    <row r="36" spans="1:11">
      <c r="A36" s="21"/>
      <c r="B36" s="22"/>
      <c r="C36" s="22"/>
      <c r="D36" s="22"/>
      <c r="E36" s="23"/>
      <c r="F36" s="23"/>
      <c r="G36" s="24"/>
      <c r="H36" s="22"/>
      <c r="I36" s="22"/>
      <c r="J36" s="25"/>
      <c r="K36" s="22"/>
    </row>
    <row r="37" spans="1:11">
      <c r="A37" s="21"/>
      <c r="B37" s="22"/>
      <c r="C37" s="22"/>
      <c r="D37" s="22"/>
      <c r="E37" s="23"/>
      <c r="F37" s="23"/>
      <c r="G37" s="24"/>
      <c r="H37" s="22"/>
      <c r="I37" s="22"/>
      <c r="J37" s="25"/>
      <c r="K37" s="22"/>
    </row>
    <row r="38" spans="1:11">
      <c r="A38" s="21"/>
      <c r="B38" s="22"/>
      <c r="C38" s="22"/>
      <c r="D38" s="22"/>
      <c r="E38" s="23"/>
      <c r="F38" s="23"/>
      <c r="G38" s="24"/>
      <c r="H38" s="22"/>
      <c r="I38" s="22"/>
      <c r="J38" s="25"/>
      <c r="K38" s="22"/>
    </row>
    <row r="39" spans="1:11">
      <c r="A39" s="21"/>
      <c r="B39" s="22"/>
      <c r="C39" s="22"/>
      <c r="D39" s="22"/>
      <c r="E39" s="23"/>
      <c r="F39" s="23"/>
      <c r="G39" s="24"/>
      <c r="H39" s="22"/>
      <c r="I39" s="22"/>
      <c r="J39" s="25"/>
      <c r="K39" s="22"/>
    </row>
    <row r="40" spans="1:11">
      <c r="A40" s="21"/>
      <c r="B40" s="22"/>
      <c r="C40" s="22"/>
      <c r="D40" s="22"/>
      <c r="E40" s="23"/>
      <c r="F40" s="23"/>
      <c r="G40" s="24"/>
      <c r="H40" s="22"/>
      <c r="I40" s="22"/>
      <c r="J40" s="25"/>
      <c r="K40" s="22"/>
    </row>
    <row r="41" spans="1:11">
      <c r="A41" s="21"/>
      <c r="B41" s="22"/>
      <c r="C41" s="22"/>
      <c r="D41" s="22"/>
      <c r="E41" s="23"/>
      <c r="F41" s="23"/>
      <c r="G41" s="24"/>
      <c r="H41" s="22"/>
      <c r="I41" s="22"/>
      <c r="J41" s="25"/>
      <c r="K41" s="22"/>
    </row>
    <row r="42" spans="1:11">
      <c r="A42" s="21"/>
      <c r="B42" s="22"/>
      <c r="C42" s="22"/>
      <c r="D42" s="22"/>
      <c r="E42" s="23"/>
      <c r="F42" s="23"/>
      <c r="G42" s="24"/>
      <c r="H42" s="22"/>
      <c r="I42" s="22"/>
      <c r="J42" s="25"/>
      <c r="K42" s="22"/>
    </row>
    <row r="43" spans="1:11">
      <c r="A43" s="21"/>
      <c r="B43" s="22"/>
      <c r="C43" s="22"/>
      <c r="D43" s="22"/>
      <c r="E43" s="23"/>
      <c r="F43" s="23"/>
      <c r="G43" s="24"/>
      <c r="H43" s="22"/>
      <c r="I43" s="22"/>
      <c r="J43" s="25"/>
      <c r="K43" s="22"/>
    </row>
    <row r="44" spans="1:11">
      <c r="A44" s="21"/>
      <c r="B44" s="22"/>
      <c r="C44" s="22"/>
      <c r="D44" s="22"/>
      <c r="E44" s="23"/>
      <c r="F44" s="23"/>
      <c r="G44" s="24"/>
      <c r="H44" s="22"/>
      <c r="I44" s="22"/>
      <c r="J44" s="25"/>
      <c r="K44" s="22"/>
    </row>
    <row r="45" spans="1:11">
      <c r="A45" s="21"/>
      <c r="B45" s="22"/>
      <c r="C45" s="22"/>
      <c r="D45" s="22"/>
      <c r="E45" s="23"/>
      <c r="F45" s="23"/>
      <c r="G45" s="24"/>
      <c r="H45" s="22"/>
      <c r="I45" s="22"/>
      <c r="J45" s="25"/>
      <c r="K45" s="22"/>
    </row>
    <row r="46" spans="1:11">
      <c r="A46" s="21"/>
      <c r="B46" s="22"/>
      <c r="C46" s="22"/>
      <c r="D46" s="22"/>
      <c r="E46" s="23"/>
      <c r="F46" s="23"/>
      <c r="G46" s="24"/>
      <c r="H46" s="22"/>
      <c r="I46" s="22"/>
      <c r="J46" s="25"/>
      <c r="K46" s="22"/>
    </row>
    <row r="47" spans="1:11">
      <c r="A47" s="21"/>
      <c r="B47" s="22"/>
      <c r="C47" s="22"/>
      <c r="D47" s="22"/>
      <c r="E47" s="23"/>
      <c r="F47" s="23"/>
      <c r="G47" s="24"/>
      <c r="H47" s="22"/>
      <c r="I47" s="22"/>
      <c r="J47" s="25"/>
      <c r="K47" s="22"/>
    </row>
    <row r="48" spans="1:11">
      <c r="A48" s="21"/>
      <c r="B48" s="22"/>
      <c r="C48" s="22"/>
      <c r="D48" s="22"/>
      <c r="E48" s="23"/>
      <c r="F48" s="23"/>
      <c r="G48" s="24"/>
      <c r="H48" s="22"/>
      <c r="I48" s="22"/>
      <c r="J48" s="25"/>
      <c r="K48" s="26"/>
    </row>
    <row r="49" spans="1:11">
      <c r="A49" s="21"/>
      <c r="B49" s="22"/>
      <c r="C49" s="22"/>
      <c r="D49" s="22"/>
      <c r="E49" s="23"/>
      <c r="F49" s="23"/>
      <c r="G49" s="24"/>
      <c r="H49" s="22"/>
      <c r="I49" s="22"/>
      <c r="J49" s="25"/>
      <c r="K49" s="26"/>
    </row>
    <row r="50" spans="1:11">
      <c r="A50" s="21"/>
      <c r="B50" s="22"/>
      <c r="C50" s="22"/>
      <c r="D50" s="22"/>
      <c r="E50" s="23"/>
      <c r="F50" s="23"/>
      <c r="G50" s="24"/>
      <c r="H50" s="22"/>
      <c r="I50" s="22"/>
      <c r="J50" s="25"/>
      <c r="K50" s="26"/>
    </row>
    <row r="51" spans="1:1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28"/>
    </row>
    <row r="52" spans="1:1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28"/>
    </row>
    <row r="53" spans="1:1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28"/>
    </row>
    <row r="54" spans="1:1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28"/>
    </row>
    <row r="55" spans="1:1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28"/>
    </row>
    <row r="56" spans="1:1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28"/>
    </row>
    <row r="57" spans="1:1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28"/>
    </row>
    <row r="58" spans="1:1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28"/>
    </row>
    <row r="59" spans="1:1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28"/>
    </row>
    <row r="60" spans="1:1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28"/>
    </row>
    <row r="61" spans="1:1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28"/>
    </row>
    <row r="62" spans="1:1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28"/>
    </row>
    <row r="63" spans="1:1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28"/>
    </row>
    <row r="64" spans="1:1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28"/>
    </row>
    <row r="65" spans="1:1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28"/>
    </row>
    <row r="66" spans="1:1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28"/>
    </row>
    <row r="67" spans="1:1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28"/>
    </row>
    <row r="68" spans="1:1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</row>
    <row r="69" spans="1:1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</row>
    <row r="70" spans="1:1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</row>
    <row r="71" spans="1:1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</row>
    <row r="72" spans="1:1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</row>
    <row r="73" spans="1:1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</row>
    <row r="74" spans="1:1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</row>
    <row r="75" spans="1:1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</row>
    <row r="76" spans="1:1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</row>
    <row r="77" spans="1:1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</row>
    <row r="78" spans="1:1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</row>
    <row r="79" spans="1:1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28"/>
    </row>
    <row r="80" spans="1:1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</row>
    <row r="81" spans="1:1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28"/>
    </row>
    <row r="82" spans="1:1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28"/>
    </row>
    <row r="83" spans="1:1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28"/>
    </row>
    <row r="84" spans="1:1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28"/>
    </row>
    <row r="85" spans="1:1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</row>
    <row r="86" spans="1:1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</row>
    <row r="87" spans="1:1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28"/>
    </row>
    <row r="88" spans="1:1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28"/>
    </row>
    <row r="89" spans="1:1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28"/>
    </row>
    <row r="90" spans="1:1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28"/>
    </row>
    <row r="91" spans="1:1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</row>
    <row r="92" spans="1:1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28"/>
    </row>
    <row r="93" spans="1:1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28"/>
    </row>
    <row r="94" spans="1:1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</row>
    <row r="95" spans="1:1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28"/>
    </row>
    <row r="96" spans="1:1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</row>
    <row r="97" spans="1:1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28"/>
    </row>
    <row r="98" spans="1:1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28"/>
    </row>
    <row r="99" spans="1:1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</row>
    <row r="100" spans="1:1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28"/>
    </row>
    <row r="101" spans="1:1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28"/>
    </row>
    <row r="102" spans="1:1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</row>
    <row r="103" spans="1:11" ht="23.25" thickBot="1">
      <c r="A103" s="29"/>
      <c r="B103" s="30"/>
      <c r="C103" s="30"/>
      <c r="D103" s="30"/>
      <c r="E103" s="30"/>
      <c r="F103" s="30"/>
      <c r="G103" s="30"/>
      <c r="H103" s="30"/>
      <c r="I103" s="30"/>
      <c r="J103" s="30"/>
      <c r="K103" s="30"/>
    </row>
    <row r="104" spans="1:11" ht="23.25" thickTop="1"/>
  </sheetData>
  <conditionalFormatting sqref="G12:G50">
    <cfRule type="expression" dxfId="29" priority="3" stopIfTrue="1">
      <formula>D12="No Further Action"=TRUE</formula>
    </cfRule>
    <cfRule type="expression" dxfId="28" priority="20" stopIfTrue="1">
      <formula>G12="HPE"=TRUE</formula>
    </cfRule>
    <cfRule type="expression" dxfId="27" priority="21" stopIfTrue="1">
      <formula>G12="DWP"=TRUE</formula>
    </cfRule>
  </conditionalFormatting>
  <conditionalFormatting sqref="E12:F19">
    <cfRule type="expression" dxfId="26" priority="8" stopIfTrue="1">
      <formula>E12="1-Critical"=TRUE</formula>
    </cfRule>
    <cfRule type="expression" dxfId="25" priority="9" stopIfTrue="1">
      <formula>E12="2-High"=TRUE</formula>
    </cfRule>
    <cfRule type="expression" dxfId="24" priority="10" stopIfTrue="1">
      <formula>E12="3-Medium"=TRUE</formula>
    </cfRule>
    <cfRule type="expression" dxfId="23" priority="11" stopIfTrue="1">
      <formula>E12="4-Low"=TRUE</formula>
    </cfRule>
    <cfRule type="expression" dxfId="22" priority="12" stopIfTrue="1">
      <formula>E12="5-Info"=TRUE</formula>
    </cfRule>
    <cfRule type="expression" dxfId="21" priority="13" stopIfTrue="1">
      <formula>E12="6-Good"=TRUE</formula>
    </cfRule>
  </conditionalFormatting>
  <conditionalFormatting sqref="E20:F50">
    <cfRule type="expression" dxfId="20" priority="14" stopIfTrue="1">
      <formula>E20="1-Critical"=TRUE</formula>
    </cfRule>
    <cfRule type="expression" dxfId="19" priority="15" stopIfTrue="1">
      <formula>E20="2-High"=TRUE</formula>
    </cfRule>
    <cfRule type="expression" dxfId="18" priority="16" stopIfTrue="1">
      <formula>E20="3-Medium"=TRUE</formula>
    </cfRule>
    <cfRule type="expression" dxfId="17" priority="17" stopIfTrue="1">
      <formula>E20="4-Low"=TRUE</formula>
    </cfRule>
    <cfRule type="expression" dxfId="16" priority="18" stopIfTrue="1">
      <formula>E20="5-Info"=TRUE</formula>
    </cfRule>
    <cfRule type="expression" dxfId="15" priority="19" stopIfTrue="1">
      <formula>E20="6-Good"=TRUE</formula>
    </cfRule>
  </conditionalFormatting>
  <conditionalFormatting sqref="A12:A50">
    <cfRule type="expression" dxfId="14" priority="7" stopIfTrue="1">
      <formula>D12="No Further Action"=TRUE</formula>
    </cfRule>
  </conditionalFormatting>
  <conditionalFormatting sqref="B12:B50">
    <cfRule type="expression" dxfId="13" priority="6" stopIfTrue="1">
      <formula>D12="No Further Action"=TRUE</formula>
    </cfRule>
  </conditionalFormatting>
  <conditionalFormatting sqref="C12:C50">
    <cfRule type="expression" dxfId="12" priority="5" stopIfTrue="1">
      <formula>D12="No Further Action"=TRUE</formula>
    </cfRule>
  </conditionalFormatting>
  <conditionalFormatting sqref="D12:G50">
    <cfRule type="expression" dxfId="11" priority="4" stopIfTrue="1">
      <formula>D12="No Further Action"=TRUE</formula>
    </cfRule>
  </conditionalFormatting>
  <conditionalFormatting sqref="J12:J50">
    <cfRule type="expression" dxfId="10" priority="2" stopIfTrue="1">
      <formula>D12="No Further Action"=TRUE</formula>
    </cfRule>
  </conditionalFormatting>
  <conditionalFormatting sqref="E12:F50">
    <cfRule type="expression" dxfId="9" priority="1" stopIfTrue="1">
      <formula>D12="No Further Action"=TRUE</formula>
    </cfRule>
  </conditionalFormatting>
  <conditionalFormatting sqref="H12:I50">
    <cfRule type="expression" dxfId="8" priority="22" stopIfTrue="1">
      <formula>D12="No Further Action"=TRUE</formula>
    </cfRule>
  </conditionalFormatting>
  <dataValidations count="3">
    <dataValidation type="list" allowBlank="1" showInputMessage="1" showErrorMessage="1" sqref="E12:E103" xr:uid="{8C7B60F8-1E78-44B0-B961-F51B410EAE30}">
      <formula1>Lookup5</formula1>
    </dataValidation>
    <dataValidation type="list" allowBlank="1" showInputMessage="1" showErrorMessage="1" sqref="A2:A8 G12:G103" xr:uid="{A37AD131-BA51-45E4-B8CF-71CE28443494}">
      <formula1>Lookup7</formula1>
    </dataValidation>
    <dataValidation type="list" allowBlank="1" showInputMessage="1" showErrorMessage="1" sqref="D12:D103" xr:uid="{71090C1F-4281-4226-B588-8F34701DBE16}">
      <formula1>Lookup4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713D6-AE29-4A71-BA55-0FB7CEF07C50}">
  <dimension ref="A10:B32"/>
  <sheetViews>
    <sheetView tabSelected="1" topLeftCell="A11" zoomScale="115" zoomScaleNormal="115" workbookViewId="0">
      <selection activeCell="B12" sqref="B12:B31"/>
    </sheetView>
  </sheetViews>
  <sheetFormatPr defaultRowHeight="15"/>
  <cols>
    <col min="1" max="1" width="14.140625" customWidth="1"/>
    <col min="2" max="2" width="34.5703125" customWidth="1"/>
  </cols>
  <sheetData>
    <row r="10" spans="1:2" ht="15.75" thickBot="1"/>
    <row r="11" spans="1:2" s="112" customFormat="1" ht="30" customHeight="1" thickTop="1" thickBot="1">
      <c r="A11" s="110" t="s">
        <v>55</v>
      </c>
      <c r="B11" s="111" t="s">
        <v>56</v>
      </c>
    </row>
    <row r="12" spans="1:2" s="112" customFormat="1" ht="30" customHeight="1" thickTop="1">
      <c r="A12" s="113">
        <v>1</v>
      </c>
      <c r="B12" s="143" t="s">
        <v>33</v>
      </c>
    </row>
    <row r="13" spans="1:2" s="112" customFormat="1" ht="30" customHeight="1">
      <c r="A13" s="114">
        <v>2</v>
      </c>
      <c r="B13" s="144" t="s">
        <v>35</v>
      </c>
    </row>
    <row r="14" spans="1:2" s="112" customFormat="1" ht="30" customHeight="1">
      <c r="A14" s="114">
        <v>3</v>
      </c>
      <c r="B14" s="144" t="s">
        <v>37</v>
      </c>
    </row>
    <row r="15" spans="1:2" s="112" customFormat="1" ht="30" customHeight="1">
      <c r="A15" s="114">
        <v>4</v>
      </c>
      <c r="B15" s="144" t="s">
        <v>57</v>
      </c>
    </row>
    <row r="16" spans="1:2" s="112" customFormat="1" ht="30" customHeight="1">
      <c r="A16" s="114">
        <v>5</v>
      </c>
      <c r="B16" s="144" t="s">
        <v>58</v>
      </c>
    </row>
    <row r="17" spans="1:2" s="112" customFormat="1" ht="30" customHeight="1">
      <c r="A17" s="114">
        <v>6</v>
      </c>
      <c r="B17" s="144" t="s">
        <v>59</v>
      </c>
    </row>
    <row r="18" spans="1:2" s="112" customFormat="1" ht="30" customHeight="1">
      <c r="A18" s="114">
        <v>7</v>
      </c>
      <c r="B18" s="144" t="s">
        <v>60</v>
      </c>
    </row>
    <row r="19" spans="1:2" s="112" customFormat="1" ht="30" customHeight="1">
      <c r="A19" s="114">
        <v>8</v>
      </c>
      <c r="B19" s="144" t="s">
        <v>61</v>
      </c>
    </row>
    <row r="20" spans="1:2" s="112" customFormat="1" ht="30" customHeight="1">
      <c r="A20" s="114">
        <v>9</v>
      </c>
      <c r="B20" s="144" t="s">
        <v>62</v>
      </c>
    </row>
    <row r="21" spans="1:2" s="112" customFormat="1" ht="30" customHeight="1">
      <c r="A21" s="114">
        <v>10</v>
      </c>
      <c r="B21" s="144" t="s">
        <v>63</v>
      </c>
    </row>
    <row r="22" spans="1:2" s="112" customFormat="1" ht="30" customHeight="1">
      <c r="A22" s="114">
        <v>11</v>
      </c>
      <c r="B22" s="144" t="s">
        <v>64</v>
      </c>
    </row>
    <row r="23" spans="1:2" s="112" customFormat="1" ht="30" customHeight="1">
      <c r="A23" s="114">
        <v>12</v>
      </c>
      <c r="B23" s="144" t="s">
        <v>65</v>
      </c>
    </row>
    <row r="24" spans="1:2" s="112" customFormat="1" ht="30" customHeight="1">
      <c r="A24" s="114">
        <v>13</v>
      </c>
      <c r="B24" s="144" t="s">
        <v>66</v>
      </c>
    </row>
    <row r="25" spans="1:2" s="112" customFormat="1" ht="30" customHeight="1">
      <c r="A25" s="114">
        <v>14</v>
      </c>
      <c r="B25" s="144" t="s">
        <v>67</v>
      </c>
    </row>
    <row r="26" spans="1:2" s="112" customFormat="1" ht="30" customHeight="1">
      <c r="A26" s="114">
        <v>15</v>
      </c>
      <c r="B26" s="144" t="s">
        <v>68</v>
      </c>
    </row>
    <row r="27" spans="1:2" s="112" customFormat="1" ht="30" customHeight="1">
      <c r="A27" s="114">
        <v>16</v>
      </c>
      <c r="B27" s="144" t="s">
        <v>69</v>
      </c>
    </row>
    <row r="28" spans="1:2" s="112" customFormat="1" ht="30" customHeight="1">
      <c r="A28" s="114">
        <v>17</v>
      </c>
      <c r="B28" s="144" t="s">
        <v>70</v>
      </c>
    </row>
    <row r="29" spans="1:2" s="112" customFormat="1" ht="30" customHeight="1">
      <c r="A29" s="114">
        <v>18</v>
      </c>
      <c r="B29" s="144" t="s">
        <v>71</v>
      </c>
    </row>
    <row r="30" spans="1:2" s="112" customFormat="1" ht="30" customHeight="1">
      <c r="A30" s="114">
        <v>19</v>
      </c>
      <c r="B30" s="144" t="s">
        <v>72</v>
      </c>
    </row>
    <row r="31" spans="1:2" s="112" customFormat="1" ht="30" customHeight="1" thickBot="1">
      <c r="A31" s="115">
        <v>20</v>
      </c>
      <c r="B31" s="145" t="s">
        <v>73</v>
      </c>
    </row>
    <row r="32" spans="1:2" ht="15.75" thickTop="1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E4A2-5F84-4E44-87A4-F42C2DEF6CB1}">
  <dimension ref="A1:AB6"/>
  <sheetViews>
    <sheetView workbookViewId="0">
      <selection activeCell="S22" sqref="S22"/>
    </sheetView>
  </sheetViews>
  <sheetFormatPr defaultRowHeight="15"/>
  <cols>
    <col min="1" max="1" width="22" customWidth="1"/>
    <col min="2" max="21" width="20.7109375" customWidth="1"/>
    <col min="23" max="23" width="9.140625" customWidth="1"/>
  </cols>
  <sheetData>
    <row r="1" spans="1:28" s="112" customFormat="1" ht="50.25" customHeight="1" thickTop="1" thickBot="1">
      <c r="A1" s="110" t="s">
        <v>5</v>
      </c>
      <c r="B1" s="116" t="str">
        <f>'3 - Test Plan'!B12</f>
        <v>Area 1</v>
      </c>
      <c r="C1" s="116" t="str">
        <f>'3 - Test Plan'!B13</f>
        <v>Area 2</v>
      </c>
      <c r="D1" s="116" t="str">
        <f>'3 - Test Plan'!B14</f>
        <v>Area 3</v>
      </c>
      <c r="E1" s="116" t="str">
        <f>'3 - Test Plan'!B15</f>
        <v>Area 4</v>
      </c>
      <c r="F1" s="116" t="str">
        <f>'3 - Test Plan'!B16</f>
        <v>Area 5</v>
      </c>
      <c r="G1" s="116" t="str">
        <f>'3 - Test Plan'!B17</f>
        <v>Area 6</v>
      </c>
      <c r="H1" s="116" t="str">
        <f>'3 - Test Plan'!B18</f>
        <v>Area 7</v>
      </c>
      <c r="I1" s="116" t="str">
        <f>'3 - Test Plan'!B19</f>
        <v>Area 8</v>
      </c>
      <c r="J1" s="116" t="str">
        <f>'3 - Test Plan'!B20</f>
        <v>Area 9</v>
      </c>
      <c r="K1" s="117" t="str">
        <f>'3 - Test Plan'!B21</f>
        <v>Area 10</v>
      </c>
      <c r="L1" s="117" t="str">
        <f>'3 - Test Plan'!B22</f>
        <v>Area 11</v>
      </c>
      <c r="M1" s="117" t="str">
        <f>'3 - Test Plan'!B23</f>
        <v>Area 12</v>
      </c>
      <c r="N1" s="117" t="str">
        <f>'3 - Test Plan'!B24</f>
        <v>Area 13</v>
      </c>
      <c r="O1" s="117" t="str">
        <f>'3 - Test Plan'!B25</f>
        <v>Area 14</v>
      </c>
      <c r="P1" s="117" t="str">
        <f>'3 - Test Plan'!B26</f>
        <v>Area 15</v>
      </c>
      <c r="Q1" s="117" t="str">
        <f>'3 - Test Plan'!B27</f>
        <v>Area 16</v>
      </c>
      <c r="R1" s="117" t="str">
        <f>'3 - Test Plan'!B28</f>
        <v>Area 17</v>
      </c>
      <c r="S1" s="117" t="str">
        <f>'3 - Test Plan'!B29</f>
        <v>Area 18</v>
      </c>
      <c r="T1" s="117" t="str">
        <f>'3 - Test Plan'!B30</f>
        <v>Area 19</v>
      </c>
      <c r="U1" s="118" t="str">
        <f>'3 - Test Plan'!B31</f>
        <v>Area 20</v>
      </c>
      <c r="V1" s="119"/>
      <c r="W1" s="119"/>
      <c r="X1" s="119"/>
      <c r="Y1" s="119"/>
      <c r="Z1" s="119"/>
      <c r="AA1" s="119"/>
      <c r="AB1" s="119"/>
    </row>
    <row r="2" spans="1:28" ht="30" customHeight="1" thickTop="1">
      <c r="A2" s="7" t="s">
        <v>74</v>
      </c>
      <c r="B2" s="139" t="s">
        <v>75</v>
      </c>
      <c r="C2" s="139" t="s">
        <v>75</v>
      </c>
      <c r="D2" s="139" t="s">
        <v>75</v>
      </c>
      <c r="E2" s="139" t="s">
        <v>75</v>
      </c>
      <c r="F2" s="139" t="s">
        <v>75</v>
      </c>
      <c r="G2" s="139" t="s">
        <v>75</v>
      </c>
      <c r="H2" s="139" t="s">
        <v>75</v>
      </c>
      <c r="I2" s="139" t="s">
        <v>75</v>
      </c>
      <c r="J2" s="139" t="s">
        <v>75</v>
      </c>
      <c r="K2" s="139" t="s">
        <v>75</v>
      </c>
      <c r="L2" s="139" t="s">
        <v>75</v>
      </c>
      <c r="M2" s="139" t="s">
        <v>75</v>
      </c>
      <c r="N2" s="139" t="s">
        <v>75</v>
      </c>
      <c r="O2" s="139" t="s">
        <v>75</v>
      </c>
      <c r="P2" s="139" t="s">
        <v>75</v>
      </c>
      <c r="Q2" s="139" t="s">
        <v>75</v>
      </c>
      <c r="R2" s="139" t="s">
        <v>75</v>
      </c>
      <c r="S2" s="139" t="s">
        <v>75</v>
      </c>
      <c r="T2" s="139" t="s">
        <v>75</v>
      </c>
      <c r="U2" s="140" t="s">
        <v>75</v>
      </c>
    </row>
    <row r="3" spans="1:28" ht="30" customHeight="1">
      <c r="A3" s="5"/>
      <c r="B3" s="141" t="s">
        <v>75</v>
      </c>
      <c r="C3" s="141" t="s">
        <v>75</v>
      </c>
      <c r="D3" s="141" t="s">
        <v>75</v>
      </c>
      <c r="E3" s="141" t="s">
        <v>75</v>
      </c>
      <c r="F3" s="141" t="s">
        <v>75</v>
      </c>
      <c r="G3" s="141" t="s">
        <v>75</v>
      </c>
      <c r="H3" s="141" t="s">
        <v>75</v>
      </c>
      <c r="I3" s="141" t="s">
        <v>75</v>
      </c>
      <c r="J3" s="141" t="s">
        <v>75</v>
      </c>
      <c r="K3" s="141" t="s">
        <v>75</v>
      </c>
      <c r="L3" s="141" t="s">
        <v>75</v>
      </c>
      <c r="M3" s="141" t="s">
        <v>75</v>
      </c>
      <c r="N3" s="141" t="s">
        <v>75</v>
      </c>
      <c r="O3" s="141" t="s">
        <v>75</v>
      </c>
      <c r="P3" s="141" t="s">
        <v>75</v>
      </c>
      <c r="Q3" s="141" t="s">
        <v>75</v>
      </c>
      <c r="R3" s="141" t="s">
        <v>75</v>
      </c>
      <c r="S3" s="141" t="s">
        <v>75</v>
      </c>
      <c r="T3" s="141" t="s">
        <v>75</v>
      </c>
      <c r="U3" s="142" t="s">
        <v>75</v>
      </c>
    </row>
    <row r="4" spans="1:28" ht="30" customHeight="1">
      <c r="A4" s="5"/>
      <c r="B4" s="141" t="s">
        <v>75</v>
      </c>
      <c r="C4" s="141" t="s">
        <v>75</v>
      </c>
      <c r="D4" s="141" t="s">
        <v>75</v>
      </c>
      <c r="E4" s="141" t="s">
        <v>75</v>
      </c>
      <c r="F4" s="141" t="s">
        <v>75</v>
      </c>
      <c r="G4" s="141" t="s">
        <v>75</v>
      </c>
      <c r="H4" s="141" t="s">
        <v>75</v>
      </c>
      <c r="I4" s="141" t="s">
        <v>75</v>
      </c>
      <c r="J4" s="141" t="s">
        <v>75</v>
      </c>
      <c r="K4" s="141" t="s">
        <v>75</v>
      </c>
      <c r="L4" s="141" t="s">
        <v>75</v>
      </c>
      <c r="M4" s="141" t="s">
        <v>75</v>
      </c>
      <c r="N4" s="141" t="s">
        <v>75</v>
      </c>
      <c r="O4" s="141" t="s">
        <v>75</v>
      </c>
      <c r="P4" s="141" t="s">
        <v>75</v>
      </c>
      <c r="Q4" s="141" t="s">
        <v>75</v>
      </c>
      <c r="R4" s="141" t="s">
        <v>75</v>
      </c>
      <c r="S4" s="141" t="s">
        <v>75</v>
      </c>
      <c r="T4" s="141" t="s">
        <v>75</v>
      </c>
      <c r="U4" s="142" t="s">
        <v>75</v>
      </c>
    </row>
    <row r="5" spans="1:28" ht="30" customHeight="1">
      <c r="A5" s="5"/>
      <c r="B5" s="141" t="s">
        <v>75</v>
      </c>
      <c r="C5" s="141" t="s">
        <v>75</v>
      </c>
      <c r="D5" s="141" t="s">
        <v>75</v>
      </c>
      <c r="E5" s="141" t="s">
        <v>75</v>
      </c>
      <c r="F5" s="141" t="s">
        <v>75</v>
      </c>
      <c r="G5" s="141" t="s">
        <v>75</v>
      </c>
      <c r="H5" s="141" t="s">
        <v>75</v>
      </c>
      <c r="I5" s="141" t="s">
        <v>75</v>
      </c>
      <c r="J5" s="141" t="s">
        <v>75</v>
      </c>
      <c r="K5" s="141" t="s">
        <v>75</v>
      </c>
      <c r="L5" s="141" t="s">
        <v>75</v>
      </c>
      <c r="M5" s="141" t="s">
        <v>75</v>
      </c>
      <c r="N5" s="141" t="s">
        <v>75</v>
      </c>
      <c r="O5" s="141" t="s">
        <v>75</v>
      </c>
      <c r="P5" s="141" t="s">
        <v>75</v>
      </c>
      <c r="Q5" s="141" t="s">
        <v>75</v>
      </c>
      <c r="R5" s="141" t="s">
        <v>75</v>
      </c>
      <c r="S5" s="141" t="s">
        <v>75</v>
      </c>
      <c r="T5" s="141" t="s">
        <v>75</v>
      </c>
      <c r="U5" s="142" t="s">
        <v>75</v>
      </c>
    </row>
    <row r="6" spans="1:28" ht="15.75" thickTop="1"/>
  </sheetData>
  <dataValidations count="1">
    <dataValidation type="list" allowBlank="1" showInputMessage="1" showErrorMessage="1" sqref="B2:U5" xr:uid="{E9C88967-DB5B-428F-8305-8CA637DC330B}">
      <formula1>Lookup6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A5946-F2F6-44F3-A7BA-1F90C9A57EE3}">
  <dimension ref="A1:L116"/>
  <sheetViews>
    <sheetView workbookViewId="0">
      <selection activeCell="L12" sqref="L12"/>
    </sheetView>
  </sheetViews>
  <sheetFormatPr defaultRowHeight="15"/>
  <cols>
    <col min="1" max="1" width="12.28515625" bestFit="1" customWidth="1"/>
    <col min="2" max="2" width="9.28515625" bestFit="1" customWidth="1"/>
    <col min="3" max="3" width="7.5703125" bestFit="1" customWidth="1"/>
    <col min="4" max="4" width="11.7109375" bestFit="1" customWidth="1"/>
    <col min="5" max="5" width="23" bestFit="1" customWidth="1"/>
    <col min="6" max="6" width="19.7109375" bestFit="1" customWidth="1"/>
    <col min="8" max="8" width="13.28515625" bestFit="1" customWidth="1"/>
  </cols>
  <sheetData>
    <row r="1" spans="1:12" s="109" customFormat="1" ht="15.75">
      <c r="A1" s="110" t="s">
        <v>6</v>
      </c>
      <c r="B1" s="120" t="s">
        <v>76</v>
      </c>
      <c r="C1" s="120" t="s">
        <v>77</v>
      </c>
      <c r="D1" s="120" t="s">
        <v>78</v>
      </c>
      <c r="E1" s="121" t="s">
        <v>79</v>
      </c>
      <c r="F1" s="121" t="s">
        <v>80</v>
      </c>
      <c r="G1" s="121" t="s">
        <v>8</v>
      </c>
      <c r="H1" s="121" t="s">
        <v>12</v>
      </c>
    </row>
    <row r="2" spans="1:12" ht="15.75">
      <c r="A2" s="31" t="s">
        <v>81</v>
      </c>
      <c r="B2" s="32" t="s">
        <v>82</v>
      </c>
      <c r="C2" s="32" t="s">
        <v>14</v>
      </c>
      <c r="D2" s="32" t="s">
        <v>83</v>
      </c>
      <c r="E2" s="33" t="s">
        <v>84</v>
      </c>
      <c r="F2" s="131" t="s">
        <v>85</v>
      </c>
      <c r="G2" s="137" t="s">
        <v>86</v>
      </c>
      <c r="H2" s="137" t="s">
        <v>20</v>
      </c>
      <c r="K2" s="133" t="s">
        <v>87</v>
      </c>
    </row>
    <row r="3" spans="1:12" ht="15.75">
      <c r="A3" s="34" t="s">
        <v>81</v>
      </c>
      <c r="B3" s="35" t="s">
        <v>82</v>
      </c>
      <c r="C3" s="35" t="s">
        <v>88</v>
      </c>
      <c r="D3" s="35" t="s">
        <v>89</v>
      </c>
      <c r="E3" s="36" t="s">
        <v>90</v>
      </c>
      <c r="F3" s="131" t="s">
        <v>85</v>
      </c>
      <c r="G3" s="137" t="s">
        <v>86</v>
      </c>
      <c r="H3" s="137" t="s">
        <v>20</v>
      </c>
      <c r="K3" s="128" t="s">
        <v>91</v>
      </c>
      <c r="L3" t="s">
        <v>92</v>
      </c>
    </row>
    <row r="4" spans="1:12" ht="15.75">
      <c r="A4" s="34" t="s">
        <v>81</v>
      </c>
      <c r="B4" s="35" t="s">
        <v>82</v>
      </c>
      <c r="C4" s="35" t="s">
        <v>93</v>
      </c>
      <c r="D4" s="35" t="s">
        <v>94</v>
      </c>
      <c r="E4" s="36" t="s">
        <v>95</v>
      </c>
      <c r="F4" s="131" t="s">
        <v>85</v>
      </c>
      <c r="G4" s="137" t="s">
        <v>86</v>
      </c>
      <c r="H4" s="137" t="s">
        <v>20</v>
      </c>
      <c r="K4" s="129" t="s">
        <v>17</v>
      </c>
      <c r="L4" t="s">
        <v>96</v>
      </c>
    </row>
    <row r="5" spans="1:12" ht="15.75">
      <c r="A5" s="34" t="s">
        <v>81</v>
      </c>
      <c r="B5" s="35" t="s">
        <v>82</v>
      </c>
      <c r="C5" s="35" t="s">
        <v>97</v>
      </c>
      <c r="D5" s="35" t="s">
        <v>98</v>
      </c>
      <c r="E5" s="36" t="s">
        <v>99</v>
      </c>
      <c r="F5" s="131" t="s">
        <v>85</v>
      </c>
      <c r="G5" s="137" t="s">
        <v>86</v>
      </c>
      <c r="H5" s="137" t="s">
        <v>20</v>
      </c>
      <c r="K5" s="130" t="s">
        <v>86</v>
      </c>
      <c r="L5" t="s">
        <v>100</v>
      </c>
    </row>
    <row r="6" spans="1:12" ht="15.75">
      <c r="A6" s="34" t="s">
        <v>81</v>
      </c>
      <c r="B6" s="35" t="s">
        <v>82</v>
      </c>
      <c r="C6" s="35" t="s">
        <v>101</v>
      </c>
      <c r="D6" s="35" t="s">
        <v>102</v>
      </c>
      <c r="E6" s="36" t="s">
        <v>103</v>
      </c>
      <c r="F6" s="131" t="s">
        <v>85</v>
      </c>
      <c r="G6" s="137" t="s">
        <v>86</v>
      </c>
      <c r="H6" s="137" t="s">
        <v>20</v>
      </c>
    </row>
    <row r="7" spans="1:12" ht="15.75">
      <c r="A7" s="34" t="s">
        <v>81</v>
      </c>
      <c r="B7" s="35" t="s">
        <v>82</v>
      </c>
      <c r="C7" s="35" t="s">
        <v>104</v>
      </c>
      <c r="D7" s="35" t="s">
        <v>105</v>
      </c>
      <c r="E7" s="36" t="s">
        <v>106</v>
      </c>
      <c r="F7" s="131" t="s">
        <v>85</v>
      </c>
      <c r="G7" s="137" t="s">
        <v>86</v>
      </c>
      <c r="H7" s="137" t="s">
        <v>20</v>
      </c>
    </row>
    <row r="8" spans="1:12" ht="15.75">
      <c r="A8" s="34" t="s">
        <v>81</v>
      </c>
      <c r="B8" s="35" t="s">
        <v>82</v>
      </c>
      <c r="C8" s="35" t="s">
        <v>107</v>
      </c>
      <c r="D8" s="35" t="s">
        <v>108</v>
      </c>
      <c r="E8" s="36" t="s">
        <v>109</v>
      </c>
      <c r="F8" s="131" t="s">
        <v>85</v>
      </c>
      <c r="G8" s="137" t="s">
        <v>86</v>
      </c>
      <c r="H8" s="137" t="s">
        <v>20</v>
      </c>
    </row>
    <row r="9" spans="1:12" ht="15.75">
      <c r="A9" s="34" t="s">
        <v>81</v>
      </c>
      <c r="B9" s="35" t="s">
        <v>82</v>
      </c>
      <c r="C9" s="35" t="s">
        <v>110</v>
      </c>
      <c r="D9" s="35" t="s">
        <v>111</v>
      </c>
      <c r="E9" s="36" t="s">
        <v>112</v>
      </c>
      <c r="F9" s="131" t="s">
        <v>85</v>
      </c>
      <c r="G9" s="137" t="s">
        <v>17</v>
      </c>
      <c r="H9" s="137" t="s">
        <v>20</v>
      </c>
    </row>
    <row r="10" spans="1:12" ht="15.75">
      <c r="A10" s="34" t="s">
        <v>81</v>
      </c>
      <c r="B10" s="35" t="s">
        <v>82</v>
      </c>
      <c r="C10" s="35" t="s">
        <v>113</v>
      </c>
      <c r="D10" s="35" t="s">
        <v>114</v>
      </c>
      <c r="E10" s="36" t="s">
        <v>115</v>
      </c>
      <c r="F10" s="131" t="s">
        <v>85</v>
      </c>
      <c r="G10" s="137" t="s">
        <v>86</v>
      </c>
      <c r="H10" s="137" t="s">
        <v>20</v>
      </c>
    </row>
    <row r="11" spans="1:12" ht="15.75">
      <c r="A11" s="34" t="s">
        <v>81</v>
      </c>
      <c r="B11" s="35" t="s">
        <v>82</v>
      </c>
      <c r="C11" s="35" t="s">
        <v>116</v>
      </c>
      <c r="D11" s="35" t="s">
        <v>117</v>
      </c>
      <c r="E11" s="36" t="s">
        <v>118</v>
      </c>
      <c r="F11" s="131" t="s">
        <v>85</v>
      </c>
      <c r="G11" s="137" t="s">
        <v>86</v>
      </c>
      <c r="H11" s="137" t="s">
        <v>20</v>
      </c>
    </row>
    <row r="12" spans="1:12" ht="15.75">
      <c r="A12" s="34" t="s">
        <v>81</v>
      </c>
      <c r="B12" s="35" t="s">
        <v>82</v>
      </c>
      <c r="C12" s="35" t="s">
        <v>119</v>
      </c>
      <c r="D12" s="35" t="s">
        <v>120</v>
      </c>
      <c r="E12" s="36" t="s">
        <v>121</v>
      </c>
      <c r="F12" s="131" t="s">
        <v>85</v>
      </c>
      <c r="G12" s="137" t="s">
        <v>86</v>
      </c>
      <c r="H12" s="137" t="s">
        <v>20</v>
      </c>
    </row>
    <row r="13" spans="1:12" ht="15.75">
      <c r="A13" s="34" t="s">
        <v>81</v>
      </c>
      <c r="B13" s="35" t="s">
        <v>82</v>
      </c>
      <c r="C13" s="35" t="s">
        <v>122</v>
      </c>
      <c r="D13" s="35" t="s">
        <v>123</v>
      </c>
      <c r="E13" s="36" t="s">
        <v>124</v>
      </c>
      <c r="F13" s="131" t="s">
        <v>85</v>
      </c>
      <c r="G13" s="137" t="s">
        <v>86</v>
      </c>
      <c r="H13" s="137" t="s">
        <v>20</v>
      </c>
    </row>
    <row r="14" spans="1:12" ht="15.75">
      <c r="A14" s="34" t="s">
        <v>81</v>
      </c>
      <c r="B14" s="35" t="s">
        <v>82</v>
      </c>
      <c r="C14" s="35" t="s">
        <v>125</v>
      </c>
      <c r="D14" s="35" t="s">
        <v>126</v>
      </c>
      <c r="E14" s="36" t="s">
        <v>127</v>
      </c>
      <c r="F14" s="131" t="s">
        <v>85</v>
      </c>
      <c r="G14" s="137" t="s">
        <v>86</v>
      </c>
      <c r="H14" s="137" t="s">
        <v>20</v>
      </c>
    </row>
    <row r="15" spans="1:12" ht="15.75">
      <c r="A15" s="34" t="s">
        <v>81</v>
      </c>
      <c r="B15" s="35" t="s">
        <v>82</v>
      </c>
      <c r="C15" s="35" t="s">
        <v>128</v>
      </c>
      <c r="D15" s="35" t="s">
        <v>129</v>
      </c>
      <c r="E15" s="36" t="s">
        <v>130</v>
      </c>
      <c r="F15" s="131" t="s">
        <v>85</v>
      </c>
      <c r="G15" s="137" t="s">
        <v>91</v>
      </c>
      <c r="H15" s="137" t="s">
        <v>131</v>
      </c>
    </row>
    <row r="16" spans="1:12" ht="15.75">
      <c r="A16" s="34" t="s">
        <v>81</v>
      </c>
      <c r="B16" s="35" t="s">
        <v>82</v>
      </c>
      <c r="C16" s="35" t="s">
        <v>132</v>
      </c>
      <c r="D16" s="35" t="s">
        <v>133</v>
      </c>
      <c r="E16" s="36" t="s">
        <v>134</v>
      </c>
      <c r="F16" s="131" t="s">
        <v>85</v>
      </c>
      <c r="G16" s="137" t="s">
        <v>86</v>
      </c>
      <c r="H16" s="137" t="s">
        <v>20</v>
      </c>
    </row>
    <row r="17" spans="1:8" ht="15.75">
      <c r="A17" s="34" t="s">
        <v>81</v>
      </c>
      <c r="B17" s="35" t="s">
        <v>82</v>
      </c>
      <c r="C17" s="35" t="s">
        <v>135</v>
      </c>
      <c r="D17" s="35" t="s">
        <v>136</v>
      </c>
      <c r="E17" s="36" t="s">
        <v>137</v>
      </c>
      <c r="F17" s="131" t="s">
        <v>85</v>
      </c>
      <c r="G17" s="137" t="s">
        <v>86</v>
      </c>
      <c r="H17" s="137" t="s">
        <v>20</v>
      </c>
    </row>
    <row r="18" spans="1:8" ht="15.75">
      <c r="A18" s="34" t="s">
        <v>81</v>
      </c>
      <c r="B18" s="35" t="s">
        <v>82</v>
      </c>
      <c r="C18" s="35" t="s">
        <v>138</v>
      </c>
      <c r="D18" s="35" t="s">
        <v>139</v>
      </c>
      <c r="E18" s="36" t="s">
        <v>140</v>
      </c>
      <c r="F18" s="131" t="s">
        <v>85</v>
      </c>
      <c r="G18" s="137" t="s">
        <v>86</v>
      </c>
      <c r="H18" s="137" t="s">
        <v>20</v>
      </c>
    </row>
    <row r="19" spans="1:8" ht="15.75">
      <c r="A19" s="34" t="s">
        <v>81</v>
      </c>
      <c r="B19" s="35" t="s">
        <v>82</v>
      </c>
      <c r="C19" s="35" t="s">
        <v>141</v>
      </c>
      <c r="D19" s="35" t="s">
        <v>142</v>
      </c>
      <c r="E19" s="36" t="s">
        <v>143</v>
      </c>
      <c r="F19" s="131" t="s">
        <v>85</v>
      </c>
      <c r="G19" s="137" t="s">
        <v>86</v>
      </c>
      <c r="H19" s="137" t="s">
        <v>20</v>
      </c>
    </row>
    <row r="20" spans="1:8" ht="15.75">
      <c r="A20" s="34" t="s">
        <v>81</v>
      </c>
      <c r="B20" s="35" t="s">
        <v>82</v>
      </c>
      <c r="C20" s="35" t="s">
        <v>144</v>
      </c>
      <c r="D20" s="35" t="s">
        <v>145</v>
      </c>
      <c r="E20" s="36" t="s">
        <v>146</v>
      </c>
      <c r="F20" s="131" t="s">
        <v>85</v>
      </c>
      <c r="G20" s="137" t="s">
        <v>86</v>
      </c>
      <c r="H20" s="137" t="s">
        <v>20</v>
      </c>
    </row>
    <row r="21" spans="1:8" ht="15.75">
      <c r="A21" s="34" t="s">
        <v>81</v>
      </c>
      <c r="B21" s="35" t="s">
        <v>82</v>
      </c>
      <c r="C21" s="35" t="s">
        <v>147</v>
      </c>
      <c r="D21" s="35" t="s">
        <v>148</v>
      </c>
      <c r="E21" s="36" t="s">
        <v>149</v>
      </c>
      <c r="F21" s="131" t="s">
        <v>85</v>
      </c>
      <c r="G21" s="137" t="s">
        <v>86</v>
      </c>
      <c r="H21" s="137" t="s">
        <v>20</v>
      </c>
    </row>
    <row r="22" spans="1:8" ht="15.75">
      <c r="A22" s="34" t="s">
        <v>81</v>
      </c>
      <c r="B22" s="35" t="s">
        <v>82</v>
      </c>
      <c r="C22" s="35" t="s">
        <v>150</v>
      </c>
      <c r="D22" s="35" t="s">
        <v>151</v>
      </c>
      <c r="E22" s="36" t="s">
        <v>152</v>
      </c>
      <c r="F22" s="131" t="s">
        <v>85</v>
      </c>
      <c r="G22" s="137" t="s">
        <v>86</v>
      </c>
      <c r="H22" s="137" t="s">
        <v>20</v>
      </c>
    </row>
    <row r="23" spans="1:8" ht="15.75">
      <c r="A23" s="34" t="s">
        <v>81</v>
      </c>
      <c r="B23" s="35" t="s">
        <v>82</v>
      </c>
      <c r="C23" s="35" t="s">
        <v>153</v>
      </c>
      <c r="D23" s="35" t="s">
        <v>154</v>
      </c>
      <c r="E23" s="36" t="s">
        <v>155</v>
      </c>
      <c r="F23" s="131" t="s">
        <v>85</v>
      </c>
      <c r="G23" s="137" t="s">
        <v>86</v>
      </c>
      <c r="H23" s="137" t="s">
        <v>20</v>
      </c>
    </row>
    <row r="24" spans="1:8" ht="15.75">
      <c r="A24" s="34" t="s">
        <v>81</v>
      </c>
      <c r="B24" s="35" t="s">
        <v>82</v>
      </c>
      <c r="C24" s="35" t="s">
        <v>156</v>
      </c>
      <c r="D24" s="35" t="s">
        <v>157</v>
      </c>
      <c r="E24" s="36" t="s">
        <v>158</v>
      </c>
      <c r="F24" s="131" t="s">
        <v>85</v>
      </c>
      <c r="G24" s="137" t="s">
        <v>86</v>
      </c>
      <c r="H24" s="137" t="s">
        <v>20</v>
      </c>
    </row>
    <row r="25" spans="1:8" ht="15.75">
      <c r="A25" s="34" t="s">
        <v>81</v>
      </c>
      <c r="B25" s="35" t="s">
        <v>82</v>
      </c>
      <c r="C25" s="35" t="s">
        <v>159</v>
      </c>
      <c r="D25" s="35" t="s">
        <v>160</v>
      </c>
      <c r="E25" s="36" t="s">
        <v>161</v>
      </c>
      <c r="F25" s="131" t="s">
        <v>85</v>
      </c>
      <c r="G25" s="137" t="s">
        <v>86</v>
      </c>
      <c r="H25" s="137" t="s">
        <v>20</v>
      </c>
    </row>
    <row r="26" spans="1:8" ht="15.75">
      <c r="A26" s="34" t="s">
        <v>81</v>
      </c>
      <c r="B26" s="35" t="s">
        <v>82</v>
      </c>
      <c r="C26" s="35" t="s">
        <v>162</v>
      </c>
      <c r="D26" s="35" t="s">
        <v>163</v>
      </c>
      <c r="E26" s="36" t="s">
        <v>164</v>
      </c>
      <c r="F26" s="131" t="s">
        <v>85</v>
      </c>
      <c r="G26" s="137" t="s">
        <v>86</v>
      </c>
      <c r="H26" s="137" t="s">
        <v>20</v>
      </c>
    </row>
    <row r="27" spans="1:8" ht="15.75">
      <c r="A27" s="34" t="s">
        <v>81</v>
      </c>
      <c r="B27" s="35" t="s">
        <v>82</v>
      </c>
      <c r="C27" s="35" t="s">
        <v>165</v>
      </c>
      <c r="D27" s="35" t="s">
        <v>166</v>
      </c>
      <c r="E27" s="36" t="s">
        <v>167</v>
      </c>
      <c r="F27" s="131" t="s">
        <v>85</v>
      </c>
      <c r="G27" s="137" t="s">
        <v>17</v>
      </c>
      <c r="H27" s="137" t="s">
        <v>20</v>
      </c>
    </row>
    <row r="28" spans="1:8" ht="15.75">
      <c r="A28" s="34" t="s">
        <v>81</v>
      </c>
      <c r="B28" s="35" t="s">
        <v>82</v>
      </c>
      <c r="C28" s="35" t="s">
        <v>168</v>
      </c>
      <c r="D28" s="35" t="s">
        <v>169</v>
      </c>
      <c r="E28" s="36" t="s">
        <v>170</v>
      </c>
      <c r="F28" s="131" t="s">
        <v>85</v>
      </c>
      <c r="G28" s="137" t="s">
        <v>86</v>
      </c>
      <c r="H28" s="137" t="s">
        <v>20</v>
      </c>
    </row>
    <row r="29" spans="1:8" ht="15.75">
      <c r="A29" s="34" t="s">
        <v>81</v>
      </c>
      <c r="B29" s="35" t="s">
        <v>82</v>
      </c>
      <c r="C29" s="35" t="s">
        <v>171</v>
      </c>
      <c r="D29" s="35" t="s">
        <v>172</v>
      </c>
      <c r="E29" s="36" t="s">
        <v>173</v>
      </c>
      <c r="F29" s="131" t="s">
        <v>85</v>
      </c>
      <c r="G29" s="137" t="s">
        <v>86</v>
      </c>
      <c r="H29" s="137" t="s">
        <v>20</v>
      </c>
    </row>
    <row r="30" spans="1:8" ht="15.75">
      <c r="A30" s="34" t="s">
        <v>81</v>
      </c>
      <c r="B30" s="35" t="s">
        <v>82</v>
      </c>
      <c r="C30" s="35" t="s">
        <v>174</v>
      </c>
      <c r="D30" s="35" t="s">
        <v>175</v>
      </c>
      <c r="E30" s="36" t="s">
        <v>176</v>
      </c>
      <c r="F30" s="131" t="s">
        <v>85</v>
      </c>
      <c r="G30" s="137" t="s">
        <v>86</v>
      </c>
      <c r="H30" s="137" t="s">
        <v>20</v>
      </c>
    </row>
    <row r="31" spans="1:8" ht="15.75">
      <c r="A31" s="34" t="s">
        <v>81</v>
      </c>
      <c r="B31" s="35" t="s">
        <v>82</v>
      </c>
      <c r="C31" s="35" t="s">
        <v>177</v>
      </c>
      <c r="D31" s="35" t="s">
        <v>178</v>
      </c>
      <c r="E31" s="36" t="s">
        <v>179</v>
      </c>
      <c r="F31" s="131" t="s">
        <v>85</v>
      </c>
      <c r="G31" s="137" t="s">
        <v>86</v>
      </c>
      <c r="H31" s="137" t="s">
        <v>20</v>
      </c>
    </row>
    <row r="32" spans="1:8" ht="15.75">
      <c r="A32" s="34" t="s">
        <v>81</v>
      </c>
      <c r="B32" s="35" t="s">
        <v>82</v>
      </c>
      <c r="C32" s="35" t="s">
        <v>180</v>
      </c>
      <c r="D32" s="35" t="s">
        <v>181</v>
      </c>
      <c r="E32" s="36" t="s">
        <v>182</v>
      </c>
      <c r="F32" s="131" t="s">
        <v>85</v>
      </c>
      <c r="G32" s="137" t="s">
        <v>86</v>
      </c>
      <c r="H32" s="137" t="s">
        <v>20</v>
      </c>
    </row>
    <row r="33" spans="1:8" ht="15.75">
      <c r="A33" s="34" t="s">
        <v>81</v>
      </c>
      <c r="B33" s="35" t="s">
        <v>82</v>
      </c>
      <c r="C33" s="35" t="s">
        <v>183</v>
      </c>
      <c r="D33" s="35" t="s">
        <v>184</v>
      </c>
      <c r="E33" s="36" t="s">
        <v>185</v>
      </c>
      <c r="F33" s="131" t="s">
        <v>85</v>
      </c>
      <c r="G33" s="137" t="s">
        <v>86</v>
      </c>
      <c r="H33" s="137" t="s">
        <v>20</v>
      </c>
    </row>
    <row r="34" spans="1:8" ht="15.75">
      <c r="A34" s="34" t="s">
        <v>81</v>
      </c>
      <c r="B34" s="35" t="s">
        <v>82</v>
      </c>
      <c r="C34" s="35" t="s">
        <v>186</v>
      </c>
      <c r="D34" s="35" t="s">
        <v>187</v>
      </c>
      <c r="E34" s="36" t="s">
        <v>188</v>
      </c>
      <c r="F34" s="131" t="s">
        <v>85</v>
      </c>
      <c r="G34" s="137" t="s">
        <v>86</v>
      </c>
      <c r="H34" s="137" t="s">
        <v>20</v>
      </c>
    </row>
    <row r="35" spans="1:8" ht="15.75">
      <c r="A35" s="34" t="s">
        <v>81</v>
      </c>
      <c r="B35" s="35" t="s">
        <v>82</v>
      </c>
      <c r="C35" s="35" t="s">
        <v>189</v>
      </c>
      <c r="D35" s="35" t="s">
        <v>190</v>
      </c>
      <c r="E35" s="36" t="s">
        <v>191</v>
      </c>
      <c r="F35" s="131" t="s">
        <v>85</v>
      </c>
      <c r="G35" s="137" t="s">
        <v>86</v>
      </c>
      <c r="H35" s="137" t="s">
        <v>20</v>
      </c>
    </row>
    <row r="36" spans="1:8" ht="15.75">
      <c r="A36" s="34" t="s">
        <v>81</v>
      </c>
      <c r="B36" s="35" t="s">
        <v>82</v>
      </c>
      <c r="C36" s="35" t="s">
        <v>192</v>
      </c>
      <c r="D36" s="35" t="s">
        <v>193</v>
      </c>
      <c r="E36" s="36" t="s">
        <v>194</v>
      </c>
      <c r="F36" s="131" t="s">
        <v>85</v>
      </c>
      <c r="G36" s="137" t="s">
        <v>86</v>
      </c>
      <c r="H36" s="137" t="s">
        <v>20</v>
      </c>
    </row>
    <row r="37" spans="1:8" ht="15.75">
      <c r="A37" s="34" t="s">
        <v>81</v>
      </c>
      <c r="B37" s="35" t="s">
        <v>82</v>
      </c>
      <c r="C37" s="35" t="s">
        <v>195</v>
      </c>
      <c r="D37" s="35" t="s">
        <v>196</v>
      </c>
      <c r="E37" s="36" t="s">
        <v>197</v>
      </c>
      <c r="F37" s="131" t="s">
        <v>85</v>
      </c>
      <c r="G37" s="137" t="s">
        <v>86</v>
      </c>
      <c r="H37" s="137" t="s">
        <v>20</v>
      </c>
    </row>
    <row r="38" spans="1:8" ht="15.75">
      <c r="A38" s="34" t="s">
        <v>81</v>
      </c>
      <c r="B38" s="35" t="s">
        <v>82</v>
      </c>
      <c r="C38" s="35" t="s">
        <v>198</v>
      </c>
      <c r="D38" s="35" t="s">
        <v>199</v>
      </c>
      <c r="E38" s="36" t="s">
        <v>200</v>
      </c>
      <c r="F38" s="131" t="s">
        <v>85</v>
      </c>
      <c r="G38" s="137" t="s">
        <v>86</v>
      </c>
      <c r="H38" s="137" t="s">
        <v>20</v>
      </c>
    </row>
    <row r="39" spans="1:8" ht="15.75">
      <c r="A39" s="34" t="s">
        <v>81</v>
      </c>
      <c r="B39" s="35" t="s">
        <v>82</v>
      </c>
      <c r="C39" s="35" t="s">
        <v>201</v>
      </c>
      <c r="D39" s="35" t="s">
        <v>202</v>
      </c>
      <c r="E39" s="36" t="s">
        <v>203</v>
      </c>
      <c r="F39" s="131" t="s">
        <v>85</v>
      </c>
      <c r="G39" s="137" t="s">
        <v>86</v>
      </c>
      <c r="H39" s="137" t="s">
        <v>20</v>
      </c>
    </row>
    <row r="40" spans="1:8" ht="15.75">
      <c r="A40" s="34" t="s">
        <v>81</v>
      </c>
      <c r="B40" s="35" t="s">
        <v>82</v>
      </c>
      <c r="C40" s="35" t="s">
        <v>204</v>
      </c>
      <c r="D40" s="35" t="s">
        <v>205</v>
      </c>
      <c r="E40" s="36" t="s">
        <v>206</v>
      </c>
      <c r="F40" s="131" t="s">
        <v>85</v>
      </c>
      <c r="G40" s="137" t="s">
        <v>86</v>
      </c>
      <c r="H40" s="137" t="s">
        <v>20</v>
      </c>
    </row>
    <row r="41" spans="1:8" ht="15.75">
      <c r="A41" s="34" t="s">
        <v>81</v>
      </c>
      <c r="B41" s="35" t="s">
        <v>82</v>
      </c>
      <c r="C41" s="35" t="s">
        <v>207</v>
      </c>
      <c r="D41" s="35" t="s">
        <v>208</v>
      </c>
      <c r="E41" s="36" t="s">
        <v>209</v>
      </c>
      <c r="F41" s="131" t="s">
        <v>85</v>
      </c>
      <c r="G41" s="137" t="s">
        <v>86</v>
      </c>
      <c r="H41" s="137" t="s">
        <v>20</v>
      </c>
    </row>
    <row r="42" spans="1:8" ht="15.75">
      <c r="A42" s="34" t="s">
        <v>81</v>
      </c>
      <c r="B42" s="35" t="s">
        <v>82</v>
      </c>
      <c r="C42" s="35" t="s">
        <v>210</v>
      </c>
      <c r="D42" s="35" t="s">
        <v>211</v>
      </c>
      <c r="E42" s="36" t="s">
        <v>212</v>
      </c>
      <c r="F42" s="131" t="s">
        <v>85</v>
      </c>
      <c r="G42" s="137" t="s">
        <v>86</v>
      </c>
      <c r="H42" s="137" t="s">
        <v>20</v>
      </c>
    </row>
    <row r="43" spans="1:8" ht="15.75">
      <c r="A43" s="34" t="s">
        <v>81</v>
      </c>
      <c r="B43" s="35" t="s">
        <v>82</v>
      </c>
      <c r="C43" s="35" t="s">
        <v>213</v>
      </c>
      <c r="D43" s="35" t="s">
        <v>214</v>
      </c>
      <c r="E43" s="36" t="s">
        <v>215</v>
      </c>
      <c r="F43" s="131" t="s">
        <v>85</v>
      </c>
      <c r="G43" s="137" t="s">
        <v>86</v>
      </c>
      <c r="H43" s="137" t="s">
        <v>20</v>
      </c>
    </row>
    <row r="44" spans="1:8" ht="15.75">
      <c r="A44" s="34" t="s">
        <v>81</v>
      </c>
      <c r="B44" s="35" t="s">
        <v>82</v>
      </c>
      <c r="C44" s="35" t="s">
        <v>216</v>
      </c>
      <c r="D44" s="35" t="s">
        <v>217</v>
      </c>
      <c r="E44" s="36" t="s">
        <v>218</v>
      </c>
      <c r="F44" s="131" t="s">
        <v>85</v>
      </c>
      <c r="G44" s="137" t="s">
        <v>86</v>
      </c>
      <c r="H44" s="137" t="s">
        <v>20</v>
      </c>
    </row>
    <row r="45" spans="1:8" ht="15.75">
      <c r="A45" s="34" t="s">
        <v>81</v>
      </c>
      <c r="B45" s="35" t="s">
        <v>82</v>
      </c>
      <c r="C45" s="35" t="s">
        <v>219</v>
      </c>
      <c r="D45" s="35" t="s">
        <v>220</v>
      </c>
      <c r="E45" s="36" t="s">
        <v>221</v>
      </c>
      <c r="F45" s="131" t="s">
        <v>85</v>
      </c>
      <c r="G45" s="137" t="s">
        <v>86</v>
      </c>
      <c r="H45" s="137" t="s">
        <v>20</v>
      </c>
    </row>
    <row r="46" spans="1:8" ht="15.75">
      <c r="A46" s="34" t="s">
        <v>81</v>
      </c>
      <c r="B46" s="35" t="s">
        <v>82</v>
      </c>
      <c r="C46" s="35" t="s">
        <v>222</v>
      </c>
      <c r="D46" s="35" t="s">
        <v>223</v>
      </c>
      <c r="E46" s="36" t="s">
        <v>224</v>
      </c>
      <c r="F46" s="131" t="s">
        <v>85</v>
      </c>
      <c r="G46" s="137" t="s">
        <v>86</v>
      </c>
      <c r="H46" s="137" t="s">
        <v>20</v>
      </c>
    </row>
    <row r="47" spans="1:8" ht="15.75">
      <c r="A47" s="34" t="s">
        <v>81</v>
      </c>
      <c r="B47" s="35" t="s">
        <v>82</v>
      </c>
      <c r="C47" s="35" t="s">
        <v>225</v>
      </c>
      <c r="D47" s="35" t="s">
        <v>226</v>
      </c>
      <c r="E47" s="36" t="s">
        <v>227</v>
      </c>
      <c r="F47" s="131" t="s">
        <v>85</v>
      </c>
      <c r="G47" s="137" t="s">
        <v>91</v>
      </c>
      <c r="H47" s="137" t="s">
        <v>131</v>
      </c>
    </row>
    <row r="48" spans="1:8" ht="15.75">
      <c r="A48" s="34" t="s">
        <v>81</v>
      </c>
      <c r="B48" s="35" t="s">
        <v>82</v>
      </c>
      <c r="C48" s="35" t="s">
        <v>228</v>
      </c>
      <c r="D48" s="35" t="s">
        <v>229</v>
      </c>
      <c r="E48" s="36" t="s">
        <v>230</v>
      </c>
      <c r="F48" s="131" t="s">
        <v>85</v>
      </c>
      <c r="G48" s="137" t="s">
        <v>86</v>
      </c>
      <c r="H48" s="137" t="s">
        <v>20</v>
      </c>
    </row>
    <row r="49" spans="1:8" ht="15.75">
      <c r="A49" s="34" t="s">
        <v>81</v>
      </c>
      <c r="B49" s="35" t="s">
        <v>82</v>
      </c>
      <c r="C49" s="35" t="s">
        <v>231</v>
      </c>
      <c r="D49" s="35" t="s">
        <v>232</v>
      </c>
      <c r="E49" s="36" t="s">
        <v>233</v>
      </c>
      <c r="F49" s="131" t="s">
        <v>85</v>
      </c>
      <c r="G49" s="137" t="s">
        <v>86</v>
      </c>
      <c r="H49" s="137" t="s">
        <v>20</v>
      </c>
    </row>
    <row r="50" spans="1:8" ht="15.75">
      <c r="A50" s="34" t="s">
        <v>81</v>
      </c>
      <c r="B50" s="35" t="s">
        <v>82</v>
      </c>
      <c r="C50" s="35" t="s">
        <v>234</v>
      </c>
      <c r="D50" s="35" t="s">
        <v>235</v>
      </c>
      <c r="E50" s="36" t="s">
        <v>236</v>
      </c>
      <c r="F50" s="131" t="s">
        <v>85</v>
      </c>
      <c r="G50" s="137" t="s">
        <v>86</v>
      </c>
      <c r="H50" s="137" t="s">
        <v>20</v>
      </c>
    </row>
    <row r="51" spans="1:8" ht="15.75">
      <c r="A51" s="34" t="s">
        <v>81</v>
      </c>
      <c r="B51" s="35" t="s">
        <v>82</v>
      </c>
      <c r="C51" s="35" t="s">
        <v>237</v>
      </c>
      <c r="D51" s="35" t="s">
        <v>238</v>
      </c>
      <c r="E51" s="36" t="s">
        <v>239</v>
      </c>
      <c r="F51" s="131" t="s">
        <v>85</v>
      </c>
      <c r="G51" s="137" t="s">
        <v>86</v>
      </c>
      <c r="H51" s="137" t="s">
        <v>20</v>
      </c>
    </row>
    <row r="52" spans="1:8" ht="15.75">
      <c r="A52" s="34" t="s">
        <v>81</v>
      </c>
      <c r="B52" s="35" t="s">
        <v>82</v>
      </c>
      <c r="C52" s="35" t="s">
        <v>240</v>
      </c>
      <c r="D52" s="35" t="s">
        <v>241</v>
      </c>
      <c r="E52" s="36" t="s">
        <v>242</v>
      </c>
      <c r="F52" s="131" t="s">
        <v>85</v>
      </c>
      <c r="G52" s="137" t="s">
        <v>17</v>
      </c>
      <c r="H52" s="137" t="s">
        <v>20</v>
      </c>
    </row>
    <row r="53" spans="1:8" ht="15.75">
      <c r="A53" s="34" t="s">
        <v>81</v>
      </c>
      <c r="B53" s="35" t="s">
        <v>82</v>
      </c>
      <c r="C53" s="35" t="s">
        <v>243</v>
      </c>
      <c r="D53" s="35" t="s">
        <v>244</v>
      </c>
      <c r="E53" s="36" t="s">
        <v>245</v>
      </c>
      <c r="F53" s="131" t="s">
        <v>85</v>
      </c>
      <c r="G53" s="137" t="s">
        <v>86</v>
      </c>
      <c r="H53" s="137" t="s">
        <v>20</v>
      </c>
    </row>
    <row r="54" spans="1:8" ht="15.75">
      <c r="A54" s="34" t="s">
        <v>81</v>
      </c>
      <c r="B54" s="35" t="s">
        <v>82</v>
      </c>
      <c r="C54" s="35" t="s">
        <v>246</v>
      </c>
      <c r="D54" s="35" t="s">
        <v>247</v>
      </c>
      <c r="E54" s="36" t="s">
        <v>248</v>
      </c>
      <c r="F54" s="131" t="s">
        <v>85</v>
      </c>
      <c r="G54" s="137" t="s">
        <v>86</v>
      </c>
      <c r="H54" s="137" t="s">
        <v>20</v>
      </c>
    </row>
    <row r="55" spans="1:8" ht="15.75">
      <c r="A55" s="34" t="s">
        <v>81</v>
      </c>
      <c r="B55" s="35" t="s">
        <v>82</v>
      </c>
      <c r="C55" s="35" t="s">
        <v>249</v>
      </c>
      <c r="D55" s="35" t="s">
        <v>250</v>
      </c>
      <c r="E55" s="36" t="s">
        <v>251</v>
      </c>
      <c r="F55" s="131" t="s">
        <v>85</v>
      </c>
      <c r="G55" s="137" t="s">
        <v>86</v>
      </c>
      <c r="H55" s="137" t="s">
        <v>20</v>
      </c>
    </row>
    <row r="56" spans="1:8" ht="15.75">
      <c r="A56" s="34" t="s">
        <v>81</v>
      </c>
      <c r="B56" s="35" t="s">
        <v>82</v>
      </c>
      <c r="C56" s="35" t="s">
        <v>252</v>
      </c>
      <c r="D56" s="35" t="s">
        <v>253</v>
      </c>
      <c r="E56" s="36" t="s">
        <v>254</v>
      </c>
      <c r="F56" s="131" t="s">
        <v>85</v>
      </c>
      <c r="G56" s="137" t="s">
        <v>86</v>
      </c>
      <c r="H56" s="137" t="s">
        <v>20</v>
      </c>
    </row>
    <row r="57" spans="1:8" ht="15.75">
      <c r="A57" s="34" t="s">
        <v>81</v>
      </c>
      <c r="B57" s="35" t="s">
        <v>82</v>
      </c>
      <c r="C57" s="35" t="s">
        <v>255</v>
      </c>
      <c r="D57" s="35" t="s">
        <v>256</v>
      </c>
      <c r="E57" s="36" t="s">
        <v>257</v>
      </c>
      <c r="F57" s="131" t="s">
        <v>85</v>
      </c>
      <c r="G57" s="137" t="s">
        <v>86</v>
      </c>
      <c r="H57" s="137" t="s">
        <v>20</v>
      </c>
    </row>
    <row r="58" spans="1:8" ht="15.75">
      <c r="A58" s="34" t="s">
        <v>81</v>
      </c>
      <c r="B58" s="35" t="s">
        <v>82</v>
      </c>
      <c r="C58" s="35" t="s">
        <v>258</v>
      </c>
      <c r="D58" s="35" t="s">
        <v>259</v>
      </c>
      <c r="E58" s="36" t="s">
        <v>260</v>
      </c>
      <c r="F58" s="131" t="s">
        <v>85</v>
      </c>
      <c r="G58" s="137" t="s">
        <v>86</v>
      </c>
      <c r="H58" s="137" t="s">
        <v>20</v>
      </c>
    </row>
    <row r="59" spans="1:8" ht="15.75">
      <c r="A59" s="34" t="s">
        <v>81</v>
      </c>
      <c r="B59" s="35" t="s">
        <v>82</v>
      </c>
      <c r="C59" s="35" t="s">
        <v>261</v>
      </c>
      <c r="D59" s="35" t="s">
        <v>262</v>
      </c>
      <c r="E59" s="36" t="s">
        <v>263</v>
      </c>
      <c r="F59" s="131" t="s">
        <v>85</v>
      </c>
      <c r="G59" s="137" t="s">
        <v>91</v>
      </c>
      <c r="H59" s="137" t="s">
        <v>131</v>
      </c>
    </row>
    <row r="60" spans="1:8" ht="15.75">
      <c r="A60" s="34" t="s">
        <v>81</v>
      </c>
      <c r="B60" s="35" t="s">
        <v>82</v>
      </c>
      <c r="C60" s="35" t="s">
        <v>264</v>
      </c>
      <c r="D60" s="35" t="s">
        <v>265</v>
      </c>
      <c r="E60" s="36" t="s">
        <v>266</v>
      </c>
      <c r="F60" s="131" t="s">
        <v>85</v>
      </c>
      <c r="G60" s="137" t="s">
        <v>86</v>
      </c>
      <c r="H60" s="137" t="s">
        <v>20</v>
      </c>
    </row>
    <row r="61" spans="1:8" ht="15.75">
      <c r="A61" s="34" t="s">
        <v>81</v>
      </c>
      <c r="B61" s="35" t="s">
        <v>82</v>
      </c>
      <c r="C61" s="35" t="s">
        <v>267</v>
      </c>
      <c r="D61" s="35" t="s">
        <v>268</v>
      </c>
      <c r="E61" s="36" t="s">
        <v>269</v>
      </c>
      <c r="F61" s="131" t="s">
        <v>85</v>
      </c>
      <c r="G61" s="137" t="s">
        <v>86</v>
      </c>
      <c r="H61" s="137" t="s">
        <v>20</v>
      </c>
    </row>
    <row r="62" spans="1:8" ht="15.75">
      <c r="A62" s="34" t="s">
        <v>81</v>
      </c>
      <c r="B62" s="35" t="s">
        <v>82</v>
      </c>
      <c r="C62" s="35" t="s">
        <v>270</v>
      </c>
      <c r="D62" s="35" t="s">
        <v>271</v>
      </c>
      <c r="E62" s="36" t="s">
        <v>272</v>
      </c>
      <c r="F62" s="131" t="s">
        <v>85</v>
      </c>
      <c r="G62" s="137" t="s">
        <v>86</v>
      </c>
      <c r="H62" s="137" t="s">
        <v>20</v>
      </c>
    </row>
    <row r="63" spans="1:8" ht="15.75">
      <c r="A63" s="34" t="s">
        <v>81</v>
      </c>
      <c r="B63" s="35" t="s">
        <v>82</v>
      </c>
      <c r="C63" s="35" t="s">
        <v>273</v>
      </c>
      <c r="D63" s="35" t="s">
        <v>274</v>
      </c>
      <c r="E63" s="36" t="s">
        <v>275</v>
      </c>
      <c r="F63" s="131" t="s">
        <v>85</v>
      </c>
      <c r="G63" s="137" t="s">
        <v>86</v>
      </c>
      <c r="H63" s="137" t="s">
        <v>20</v>
      </c>
    </row>
    <row r="64" spans="1:8" ht="15.75">
      <c r="A64" s="34" t="s">
        <v>81</v>
      </c>
      <c r="B64" s="35" t="s">
        <v>82</v>
      </c>
      <c r="C64" s="35" t="s">
        <v>276</v>
      </c>
      <c r="D64" s="35" t="s">
        <v>277</v>
      </c>
      <c r="E64" s="36" t="s">
        <v>278</v>
      </c>
      <c r="F64" s="131" t="s">
        <v>85</v>
      </c>
      <c r="G64" s="137" t="s">
        <v>86</v>
      </c>
      <c r="H64" s="137" t="s">
        <v>20</v>
      </c>
    </row>
    <row r="65" spans="1:8" ht="15.75">
      <c r="A65" s="34" t="s">
        <v>81</v>
      </c>
      <c r="B65" s="35" t="s">
        <v>82</v>
      </c>
      <c r="C65" s="35" t="s">
        <v>279</v>
      </c>
      <c r="D65" s="35" t="s">
        <v>280</v>
      </c>
      <c r="E65" s="36" t="s">
        <v>281</v>
      </c>
      <c r="F65" s="131" t="s">
        <v>85</v>
      </c>
      <c r="G65" s="137" t="s">
        <v>86</v>
      </c>
      <c r="H65" s="137" t="s">
        <v>20</v>
      </c>
    </row>
    <row r="66" spans="1:8" ht="15.75">
      <c r="A66" s="34" t="s">
        <v>81</v>
      </c>
      <c r="B66" s="35" t="s">
        <v>82</v>
      </c>
      <c r="C66" s="35" t="s">
        <v>282</v>
      </c>
      <c r="D66" s="35" t="s">
        <v>283</v>
      </c>
      <c r="E66" s="36" t="s">
        <v>284</v>
      </c>
      <c r="F66" s="131" t="s">
        <v>85</v>
      </c>
      <c r="G66" s="137" t="s">
        <v>86</v>
      </c>
      <c r="H66" s="137" t="s">
        <v>20</v>
      </c>
    </row>
    <row r="67" spans="1:8" ht="15.75">
      <c r="A67" s="34" t="s">
        <v>81</v>
      </c>
      <c r="B67" s="35" t="s">
        <v>82</v>
      </c>
      <c r="C67" s="35" t="s">
        <v>285</v>
      </c>
      <c r="D67" s="35" t="s">
        <v>286</v>
      </c>
      <c r="E67" s="36" t="s">
        <v>287</v>
      </c>
      <c r="F67" s="131" t="s">
        <v>85</v>
      </c>
      <c r="G67" s="137" t="s">
        <v>86</v>
      </c>
      <c r="H67" s="137" t="s">
        <v>20</v>
      </c>
    </row>
    <row r="68" spans="1:8" ht="15.75">
      <c r="A68" s="34" t="s">
        <v>81</v>
      </c>
      <c r="B68" s="35" t="s">
        <v>82</v>
      </c>
      <c r="C68" s="35" t="s">
        <v>288</v>
      </c>
      <c r="D68" s="35" t="s">
        <v>289</v>
      </c>
      <c r="E68" s="36" t="s">
        <v>290</v>
      </c>
      <c r="F68" s="131" t="s">
        <v>85</v>
      </c>
      <c r="G68" s="137" t="s">
        <v>86</v>
      </c>
      <c r="H68" s="137" t="s">
        <v>20</v>
      </c>
    </row>
    <row r="69" spans="1:8" ht="15.75">
      <c r="A69" s="34" t="s">
        <v>81</v>
      </c>
      <c r="B69" s="35" t="s">
        <v>82</v>
      </c>
      <c r="C69" s="35" t="s">
        <v>291</v>
      </c>
      <c r="D69" s="35" t="s">
        <v>292</v>
      </c>
      <c r="E69" s="36" t="s">
        <v>293</v>
      </c>
      <c r="F69" s="131" t="s">
        <v>85</v>
      </c>
      <c r="G69" s="137" t="s">
        <v>86</v>
      </c>
      <c r="H69" s="137" t="s">
        <v>20</v>
      </c>
    </row>
    <row r="70" spans="1:8" ht="15.75">
      <c r="A70" s="34" t="s">
        <v>81</v>
      </c>
      <c r="B70" s="35" t="s">
        <v>82</v>
      </c>
      <c r="C70" s="35" t="s">
        <v>294</v>
      </c>
      <c r="D70" s="35" t="s">
        <v>295</v>
      </c>
      <c r="E70" s="36" t="s">
        <v>296</v>
      </c>
      <c r="F70" s="131" t="s">
        <v>85</v>
      </c>
      <c r="G70" s="137" t="s">
        <v>86</v>
      </c>
      <c r="H70" s="137" t="s">
        <v>20</v>
      </c>
    </row>
    <row r="71" spans="1:8" ht="15.75">
      <c r="A71" s="34" t="s">
        <v>81</v>
      </c>
      <c r="B71" s="35" t="s">
        <v>82</v>
      </c>
      <c r="C71" s="35" t="s">
        <v>297</v>
      </c>
      <c r="D71" s="35" t="s">
        <v>298</v>
      </c>
      <c r="E71" s="36" t="s">
        <v>299</v>
      </c>
      <c r="F71" s="131" t="s">
        <v>85</v>
      </c>
      <c r="G71" s="137" t="s">
        <v>86</v>
      </c>
      <c r="H71" s="137" t="s">
        <v>20</v>
      </c>
    </row>
    <row r="72" spans="1:8" ht="15.75">
      <c r="A72" s="34" t="s">
        <v>81</v>
      </c>
      <c r="B72" s="35" t="s">
        <v>82</v>
      </c>
      <c r="C72" s="35" t="s">
        <v>300</v>
      </c>
      <c r="D72" s="35" t="s">
        <v>301</v>
      </c>
      <c r="E72" s="36" t="s">
        <v>302</v>
      </c>
      <c r="F72" s="131" t="s">
        <v>85</v>
      </c>
      <c r="G72" s="137" t="s">
        <v>86</v>
      </c>
      <c r="H72" s="137" t="s">
        <v>20</v>
      </c>
    </row>
    <row r="73" spans="1:8" ht="15.75">
      <c r="A73" s="34" t="s">
        <v>81</v>
      </c>
      <c r="B73" s="35" t="s">
        <v>82</v>
      </c>
      <c r="C73" s="35" t="s">
        <v>303</v>
      </c>
      <c r="D73" s="35" t="s">
        <v>304</v>
      </c>
      <c r="E73" s="36" t="s">
        <v>305</v>
      </c>
      <c r="F73" s="131" t="s">
        <v>85</v>
      </c>
      <c r="G73" s="137" t="s">
        <v>86</v>
      </c>
      <c r="H73" s="137" t="s">
        <v>20</v>
      </c>
    </row>
    <row r="74" spans="1:8" ht="15.75">
      <c r="A74" s="34" t="s">
        <v>81</v>
      </c>
      <c r="B74" s="35" t="s">
        <v>82</v>
      </c>
      <c r="C74" s="35" t="s">
        <v>306</v>
      </c>
      <c r="D74" s="35" t="s">
        <v>307</v>
      </c>
      <c r="E74" s="36" t="s">
        <v>308</v>
      </c>
      <c r="F74" s="131" t="s">
        <v>85</v>
      </c>
      <c r="G74" s="137" t="s">
        <v>86</v>
      </c>
      <c r="H74" s="137" t="s">
        <v>20</v>
      </c>
    </row>
    <row r="75" spans="1:8" ht="15.75">
      <c r="A75" s="34" t="s">
        <v>81</v>
      </c>
      <c r="B75" s="35" t="s">
        <v>82</v>
      </c>
      <c r="C75" s="35" t="s">
        <v>309</v>
      </c>
      <c r="D75" s="35" t="s">
        <v>310</v>
      </c>
      <c r="E75" s="36" t="s">
        <v>311</v>
      </c>
      <c r="F75" s="131" t="s">
        <v>85</v>
      </c>
      <c r="G75" s="137" t="s">
        <v>86</v>
      </c>
      <c r="H75" s="137" t="s">
        <v>20</v>
      </c>
    </row>
    <row r="76" spans="1:8" ht="15.75">
      <c r="A76" s="34" t="s">
        <v>81</v>
      </c>
      <c r="B76" s="35" t="s">
        <v>82</v>
      </c>
      <c r="C76" s="35" t="s">
        <v>312</v>
      </c>
      <c r="D76" s="35" t="s">
        <v>313</v>
      </c>
      <c r="E76" s="36" t="s">
        <v>314</v>
      </c>
      <c r="F76" s="131" t="s">
        <v>85</v>
      </c>
      <c r="G76" s="137" t="s">
        <v>86</v>
      </c>
      <c r="H76" s="137" t="s">
        <v>20</v>
      </c>
    </row>
    <row r="77" spans="1:8" ht="15.75">
      <c r="A77" s="34" t="s">
        <v>81</v>
      </c>
      <c r="B77" s="35" t="s">
        <v>82</v>
      </c>
      <c r="C77" s="35" t="s">
        <v>315</v>
      </c>
      <c r="D77" s="35" t="s">
        <v>316</v>
      </c>
      <c r="E77" s="36" t="s">
        <v>317</v>
      </c>
      <c r="F77" s="131" t="s">
        <v>85</v>
      </c>
      <c r="G77" s="137" t="s">
        <v>86</v>
      </c>
      <c r="H77" s="137" t="s">
        <v>20</v>
      </c>
    </row>
    <row r="78" spans="1:8" ht="15.75">
      <c r="A78" s="34" t="s">
        <v>81</v>
      </c>
      <c r="B78" s="35" t="s">
        <v>82</v>
      </c>
      <c r="C78" s="35" t="s">
        <v>318</v>
      </c>
      <c r="D78" s="35" t="s">
        <v>319</v>
      </c>
      <c r="E78" s="36" t="s">
        <v>320</v>
      </c>
      <c r="F78" s="131" t="s">
        <v>85</v>
      </c>
      <c r="G78" s="137" t="s">
        <v>86</v>
      </c>
      <c r="H78" s="137" t="s">
        <v>20</v>
      </c>
    </row>
    <row r="79" spans="1:8" ht="15.75">
      <c r="A79" s="34" t="s">
        <v>81</v>
      </c>
      <c r="B79" s="35" t="s">
        <v>82</v>
      </c>
      <c r="C79" s="35" t="s">
        <v>321</v>
      </c>
      <c r="D79" s="35" t="s">
        <v>322</v>
      </c>
      <c r="E79" s="36" t="s">
        <v>323</v>
      </c>
      <c r="F79" s="131" t="s">
        <v>85</v>
      </c>
      <c r="G79" s="137" t="s">
        <v>86</v>
      </c>
      <c r="H79" s="137" t="s">
        <v>20</v>
      </c>
    </row>
    <row r="80" spans="1:8" ht="15.75">
      <c r="A80" s="34" t="s">
        <v>81</v>
      </c>
      <c r="B80" s="35" t="s">
        <v>82</v>
      </c>
      <c r="C80" s="35" t="s">
        <v>324</v>
      </c>
      <c r="D80" s="35" t="s">
        <v>325</v>
      </c>
      <c r="E80" s="36" t="s">
        <v>326</v>
      </c>
      <c r="F80" s="131" t="s">
        <v>85</v>
      </c>
      <c r="G80" s="137" t="s">
        <v>86</v>
      </c>
      <c r="H80" s="137" t="s">
        <v>20</v>
      </c>
    </row>
    <row r="81" spans="1:8" ht="15.75">
      <c r="A81" s="34" t="s">
        <v>81</v>
      </c>
      <c r="B81" s="35" t="s">
        <v>82</v>
      </c>
      <c r="C81" s="35" t="s">
        <v>327</v>
      </c>
      <c r="D81" s="35" t="s">
        <v>328</v>
      </c>
      <c r="E81" s="36" t="s">
        <v>329</v>
      </c>
      <c r="F81" s="131" t="s">
        <v>85</v>
      </c>
      <c r="G81" s="137" t="s">
        <v>86</v>
      </c>
      <c r="H81" s="137" t="s">
        <v>20</v>
      </c>
    </row>
    <row r="82" spans="1:8" ht="15.75">
      <c r="A82" s="34" t="s">
        <v>81</v>
      </c>
      <c r="B82" s="35" t="s">
        <v>82</v>
      </c>
      <c r="C82" s="35" t="s">
        <v>330</v>
      </c>
      <c r="D82" s="35" t="s">
        <v>331</v>
      </c>
      <c r="E82" s="36" t="s">
        <v>332</v>
      </c>
      <c r="F82" s="131" t="s">
        <v>85</v>
      </c>
      <c r="G82" s="137" t="s">
        <v>86</v>
      </c>
      <c r="H82" s="137" t="s">
        <v>20</v>
      </c>
    </row>
    <row r="83" spans="1:8" ht="15.75">
      <c r="A83" s="34" t="s">
        <v>81</v>
      </c>
      <c r="B83" s="35" t="s">
        <v>82</v>
      </c>
      <c r="C83" s="35" t="s">
        <v>333</v>
      </c>
      <c r="D83" s="35" t="s">
        <v>334</v>
      </c>
      <c r="E83" s="36" t="s">
        <v>335</v>
      </c>
      <c r="F83" s="131" t="s">
        <v>85</v>
      </c>
      <c r="G83" s="137" t="s">
        <v>86</v>
      </c>
      <c r="H83" s="137" t="s">
        <v>20</v>
      </c>
    </row>
    <row r="84" spans="1:8" ht="15.75">
      <c r="A84" s="34" t="s">
        <v>81</v>
      </c>
      <c r="B84" s="35" t="s">
        <v>82</v>
      </c>
      <c r="C84" s="35" t="s">
        <v>336</v>
      </c>
      <c r="D84" s="35" t="s">
        <v>337</v>
      </c>
      <c r="E84" s="36" t="s">
        <v>338</v>
      </c>
      <c r="F84" s="131" t="s">
        <v>85</v>
      </c>
      <c r="G84" s="137" t="s">
        <v>86</v>
      </c>
      <c r="H84" s="137" t="s">
        <v>20</v>
      </c>
    </row>
    <row r="85" spans="1:8" ht="15.75">
      <c r="A85" s="34" t="s">
        <v>81</v>
      </c>
      <c r="B85" s="35" t="s">
        <v>82</v>
      </c>
      <c r="C85" s="35" t="s">
        <v>339</v>
      </c>
      <c r="D85" s="35" t="s">
        <v>340</v>
      </c>
      <c r="E85" s="36" t="s">
        <v>341</v>
      </c>
      <c r="F85" s="131" t="s">
        <v>85</v>
      </c>
      <c r="G85" s="137" t="s">
        <v>86</v>
      </c>
      <c r="H85" s="137" t="s">
        <v>20</v>
      </c>
    </row>
    <row r="86" spans="1:8" ht="15.75">
      <c r="A86" s="34" t="s">
        <v>81</v>
      </c>
      <c r="B86" s="35" t="s">
        <v>82</v>
      </c>
      <c r="C86" s="35" t="s">
        <v>342</v>
      </c>
      <c r="D86" s="35" t="s">
        <v>343</v>
      </c>
      <c r="E86" s="36" t="s">
        <v>344</v>
      </c>
      <c r="F86" s="131" t="s">
        <v>85</v>
      </c>
      <c r="G86" s="137" t="s">
        <v>86</v>
      </c>
      <c r="H86" s="137" t="s">
        <v>20</v>
      </c>
    </row>
    <row r="87" spans="1:8" ht="15.75">
      <c r="A87" s="34" t="s">
        <v>81</v>
      </c>
      <c r="B87" s="35" t="s">
        <v>82</v>
      </c>
      <c r="C87" s="35" t="s">
        <v>345</v>
      </c>
      <c r="D87" s="35" t="s">
        <v>346</v>
      </c>
      <c r="E87" s="36" t="s">
        <v>347</v>
      </c>
      <c r="F87" s="131" t="s">
        <v>85</v>
      </c>
      <c r="G87" s="137" t="s">
        <v>86</v>
      </c>
      <c r="H87" s="137" t="s">
        <v>20</v>
      </c>
    </row>
    <row r="88" spans="1:8" ht="15.75">
      <c r="A88" s="34" t="s">
        <v>81</v>
      </c>
      <c r="B88" s="35" t="s">
        <v>82</v>
      </c>
      <c r="C88" s="35" t="s">
        <v>348</v>
      </c>
      <c r="D88" s="35" t="s">
        <v>349</v>
      </c>
      <c r="E88" s="36" t="s">
        <v>350</v>
      </c>
      <c r="F88" s="131" t="s">
        <v>85</v>
      </c>
      <c r="G88" s="137" t="s">
        <v>17</v>
      </c>
      <c r="H88" s="137" t="s">
        <v>20</v>
      </c>
    </row>
    <row r="89" spans="1:8" ht="15.75">
      <c r="A89" s="34" t="s">
        <v>81</v>
      </c>
      <c r="B89" s="35" t="s">
        <v>82</v>
      </c>
      <c r="C89" s="35" t="s">
        <v>351</v>
      </c>
      <c r="D89" s="35" t="s">
        <v>352</v>
      </c>
      <c r="E89" s="36" t="s">
        <v>353</v>
      </c>
      <c r="F89" s="131" t="s">
        <v>85</v>
      </c>
      <c r="G89" s="137" t="s">
        <v>86</v>
      </c>
      <c r="H89" s="137" t="s">
        <v>20</v>
      </c>
    </row>
    <row r="90" spans="1:8" ht="15.75">
      <c r="A90" s="34" t="s">
        <v>81</v>
      </c>
      <c r="B90" s="35" t="s">
        <v>82</v>
      </c>
      <c r="C90" s="35" t="s">
        <v>354</v>
      </c>
      <c r="D90" s="35" t="s">
        <v>355</v>
      </c>
      <c r="E90" s="36" t="s">
        <v>356</v>
      </c>
      <c r="F90" s="131" t="s">
        <v>85</v>
      </c>
      <c r="G90" s="137" t="s">
        <v>86</v>
      </c>
      <c r="H90" s="137" t="s">
        <v>20</v>
      </c>
    </row>
    <row r="91" spans="1:8" ht="15.75">
      <c r="A91" s="34" t="s">
        <v>81</v>
      </c>
      <c r="B91" s="35" t="s">
        <v>82</v>
      </c>
      <c r="C91" s="35" t="s">
        <v>357</v>
      </c>
      <c r="D91" s="35" t="s">
        <v>358</v>
      </c>
      <c r="E91" s="36" t="s">
        <v>359</v>
      </c>
      <c r="F91" s="131" t="s">
        <v>85</v>
      </c>
      <c r="G91" s="137" t="s">
        <v>86</v>
      </c>
      <c r="H91" s="137" t="s">
        <v>20</v>
      </c>
    </row>
    <row r="92" spans="1:8" ht="15.75">
      <c r="A92" s="34" t="s">
        <v>81</v>
      </c>
      <c r="B92" s="35" t="s">
        <v>82</v>
      </c>
      <c r="C92" s="35" t="s">
        <v>360</v>
      </c>
      <c r="D92" s="35" t="s">
        <v>361</v>
      </c>
      <c r="E92" s="36" t="s">
        <v>362</v>
      </c>
      <c r="F92" s="131" t="s">
        <v>85</v>
      </c>
      <c r="G92" s="137" t="s">
        <v>86</v>
      </c>
      <c r="H92" s="137" t="s">
        <v>20</v>
      </c>
    </row>
    <row r="93" spans="1:8" ht="15.75">
      <c r="A93" s="34" t="s">
        <v>81</v>
      </c>
      <c r="B93" s="35" t="s">
        <v>82</v>
      </c>
      <c r="C93" s="35" t="s">
        <v>363</v>
      </c>
      <c r="D93" s="35" t="s">
        <v>364</v>
      </c>
      <c r="E93" s="36" t="s">
        <v>365</v>
      </c>
      <c r="F93" s="131" t="s">
        <v>85</v>
      </c>
      <c r="G93" s="137" t="s">
        <v>86</v>
      </c>
      <c r="H93" s="137" t="s">
        <v>20</v>
      </c>
    </row>
    <row r="94" spans="1:8" ht="15.75">
      <c r="A94" s="34" t="s">
        <v>81</v>
      </c>
      <c r="B94" s="35" t="s">
        <v>82</v>
      </c>
      <c r="C94" s="35" t="s">
        <v>366</v>
      </c>
      <c r="D94" s="35" t="s">
        <v>367</v>
      </c>
      <c r="E94" s="36" t="s">
        <v>368</v>
      </c>
      <c r="F94" s="131" t="s">
        <v>85</v>
      </c>
      <c r="G94" s="137" t="s">
        <v>86</v>
      </c>
      <c r="H94" s="137" t="s">
        <v>20</v>
      </c>
    </row>
    <row r="95" spans="1:8" ht="15.75">
      <c r="A95" s="34" t="s">
        <v>81</v>
      </c>
      <c r="B95" s="35" t="s">
        <v>82</v>
      </c>
      <c r="C95" s="35" t="s">
        <v>369</v>
      </c>
      <c r="D95" s="35" t="s">
        <v>370</v>
      </c>
      <c r="E95" s="36" t="s">
        <v>371</v>
      </c>
      <c r="F95" s="131" t="s">
        <v>85</v>
      </c>
      <c r="G95" s="137" t="s">
        <v>86</v>
      </c>
      <c r="H95" s="137" t="s">
        <v>20</v>
      </c>
    </row>
    <row r="96" spans="1:8" ht="15.75">
      <c r="A96" s="34" t="s">
        <v>81</v>
      </c>
      <c r="B96" s="35" t="s">
        <v>82</v>
      </c>
      <c r="C96" s="35" t="s">
        <v>372</v>
      </c>
      <c r="D96" s="35" t="s">
        <v>373</v>
      </c>
      <c r="E96" s="36" t="s">
        <v>374</v>
      </c>
      <c r="F96" s="131" t="s">
        <v>85</v>
      </c>
      <c r="G96" s="137" t="s">
        <v>86</v>
      </c>
      <c r="H96" s="137" t="s">
        <v>20</v>
      </c>
    </row>
    <row r="97" spans="1:8" ht="15.75">
      <c r="A97" s="34" t="s">
        <v>81</v>
      </c>
      <c r="B97" s="35" t="s">
        <v>82</v>
      </c>
      <c r="C97" s="35" t="s">
        <v>375</v>
      </c>
      <c r="D97" s="35" t="s">
        <v>376</v>
      </c>
      <c r="E97" s="36" t="s">
        <v>377</v>
      </c>
      <c r="F97" s="131" t="s">
        <v>85</v>
      </c>
      <c r="G97" s="137" t="s">
        <v>86</v>
      </c>
      <c r="H97" s="137" t="s">
        <v>20</v>
      </c>
    </row>
    <row r="98" spans="1:8" ht="15.75">
      <c r="A98" s="34" t="s">
        <v>81</v>
      </c>
      <c r="B98" s="35" t="s">
        <v>82</v>
      </c>
      <c r="C98" s="35" t="s">
        <v>378</v>
      </c>
      <c r="D98" s="35" t="s">
        <v>379</v>
      </c>
      <c r="E98" s="36" t="s">
        <v>380</v>
      </c>
      <c r="F98" s="131" t="s">
        <v>85</v>
      </c>
      <c r="G98" s="137" t="s">
        <v>86</v>
      </c>
      <c r="H98" s="137" t="s">
        <v>20</v>
      </c>
    </row>
    <row r="99" spans="1:8" ht="15.75">
      <c r="A99" s="34" t="s">
        <v>81</v>
      </c>
      <c r="B99" s="35" t="s">
        <v>82</v>
      </c>
      <c r="C99" s="35" t="s">
        <v>381</v>
      </c>
      <c r="D99" s="35" t="s">
        <v>382</v>
      </c>
      <c r="E99" s="36" t="s">
        <v>383</v>
      </c>
      <c r="F99" s="131" t="s">
        <v>85</v>
      </c>
      <c r="G99" s="137" t="s">
        <v>86</v>
      </c>
      <c r="H99" s="137" t="s">
        <v>20</v>
      </c>
    </row>
    <row r="100" spans="1:8" ht="15.75">
      <c r="A100" s="34" t="s">
        <v>81</v>
      </c>
      <c r="B100" s="35" t="s">
        <v>82</v>
      </c>
      <c r="C100" s="35" t="s">
        <v>384</v>
      </c>
      <c r="D100" s="35" t="s">
        <v>385</v>
      </c>
      <c r="E100" s="36" t="s">
        <v>386</v>
      </c>
      <c r="F100" s="131" t="s">
        <v>85</v>
      </c>
      <c r="G100" s="137" t="s">
        <v>86</v>
      </c>
      <c r="H100" s="137" t="s">
        <v>20</v>
      </c>
    </row>
    <row r="101" spans="1:8" ht="15.75">
      <c r="A101" s="34" t="s">
        <v>81</v>
      </c>
      <c r="B101" s="35" t="s">
        <v>82</v>
      </c>
      <c r="C101" s="35" t="s">
        <v>387</v>
      </c>
      <c r="D101" s="35" t="s">
        <v>388</v>
      </c>
      <c r="E101" s="36" t="s">
        <v>389</v>
      </c>
      <c r="F101" s="131" t="s">
        <v>85</v>
      </c>
      <c r="G101" s="137" t="s">
        <v>86</v>
      </c>
      <c r="H101" s="137" t="s">
        <v>20</v>
      </c>
    </row>
    <row r="102" spans="1:8" ht="15.75">
      <c r="A102" s="34" t="s">
        <v>390</v>
      </c>
      <c r="B102" s="35" t="s">
        <v>82</v>
      </c>
      <c r="C102" s="35" t="s">
        <v>391</v>
      </c>
      <c r="D102" s="35" t="s">
        <v>392</v>
      </c>
      <c r="E102" s="37" t="s">
        <v>393</v>
      </c>
      <c r="F102" s="37" t="s">
        <v>394</v>
      </c>
      <c r="G102" s="137" t="s">
        <v>86</v>
      </c>
      <c r="H102" s="137" t="s">
        <v>20</v>
      </c>
    </row>
    <row r="103" spans="1:8" ht="15.75">
      <c r="A103" s="34" t="s">
        <v>390</v>
      </c>
      <c r="B103" s="35" t="s">
        <v>82</v>
      </c>
      <c r="C103" s="35" t="s">
        <v>395</v>
      </c>
      <c r="D103" s="35" t="s">
        <v>396</v>
      </c>
      <c r="E103" s="37" t="s">
        <v>397</v>
      </c>
      <c r="F103" s="37" t="s">
        <v>398</v>
      </c>
      <c r="G103" s="137" t="s">
        <v>86</v>
      </c>
      <c r="H103" s="137" t="s">
        <v>20</v>
      </c>
    </row>
    <row r="104" spans="1:8" ht="15.75">
      <c r="A104" s="34" t="s">
        <v>390</v>
      </c>
      <c r="B104" s="35" t="s">
        <v>82</v>
      </c>
      <c r="C104" s="35" t="s">
        <v>399</v>
      </c>
      <c r="D104" s="35" t="s">
        <v>400</v>
      </c>
      <c r="E104" s="37" t="s">
        <v>401</v>
      </c>
      <c r="F104" s="37" t="s">
        <v>402</v>
      </c>
      <c r="G104" s="137" t="s">
        <v>86</v>
      </c>
      <c r="H104" s="137" t="s">
        <v>20</v>
      </c>
    </row>
    <row r="105" spans="1:8" ht="15.75">
      <c r="A105" s="34" t="s">
        <v>390</v>
      </c>
      <c r="B105" s="35" t="s">
        <v>82</v>
      </c>
      <c r="C105" s="35" t="s">
        <v>403</v>
      </c>
      <c r="D105" s="35" t="s">
        <v>404</v>
      </c>
      <c r="E105" s="37" t="s">
        <v>405</v>
      </c>
      <c r="F105" s="37" t="s">
        <v>406</v>
      </c>
      <c r="G105" s="137" t="s">
        <v>86</v>
      </c>
      <c r="H105" s="137" t="s">
        <v>20</v>
      </c>
    </row>
    <row r="106" spans="1:8" ht="15.75">
      <c r="A106" s="34" t="s">
        <v>390</v>
      </c>
      <c r="B106" s="35" t="s">
        <v>82</v>
      </c>
      <c r="C106" s="35" t="s">
        <v>407</v>
      </c>
      <c r="D106" s="35" t="s">
        <v>408</v>
      </c>
      <c r="E106" s="37" t="s">
        <v>409</v>
      </c>
      <c r="F106" s="37" t="s">
        <v>410</v>
      </c>
      <c r="G106" s="137" t="s">
        <v>86</v>
      </c>
      <c r="H106" s="137" t="s">
        <v>20</v>
      </c>
    </row>
    <row r="107" spans="1:8" ht="15.75">
      <c r="A107" s="34" t="s">
        <v>411</v>
      </c>
      <c r="B107" s="35" t="s">
        <v>412</v>
      </c>
      <c r="C107" s="35" t="s">
        <v>413</v>
      </c>
      <c r="D107" s="35" t="s">
        <v>414</v>
      </c>
      <c r="E107" s="37" t="s">
        <v>415</v>
      </c>
      <c r="F107" s="37" t="s">
        <v>416</v>
      </c>
      <c r="G107" s="137" t="s">
        <v>86</v>
      </c>
      <c r="H107" s="137" t="s">
        <v>20</v>
      </c>
    </row>
    <row r="108" spans="1:8" ht="15.75">
      <c r="A108" s="34" t="s">
        <v>411</v>
      </c>
      <c r="B108" s="35" t="s">
        <v>412</v>
      </c>
      <c r="C108" s="35" t="s">
        <v>417</v>
      </c>
      <c r="D108" s="35" t="s">
        <v>418</v>
      </c>
      <c r="E108" s="37" t="s">
        <v>419</v>
      </c>
      <c r="F108" s="37" t="s">
        <v>420</v>
      </c>
      <c r="G108" s="137" t="s">
        <v>86</v>
      </c>
      <c r="H108" s="137" t="s">
        <v>20</v>
      </c>
    </row>
    <row r="109" spans="1:8" ht="15.75">
      <c r="A109" s="34" t="s">
        <v>411</v>
      </c>
      <c r="B109" s="35" t="s">
        <v>412</v>
      </c>
      <c r="C109" s="35" t="s">
        <v>421</v>
      </c>
      <c r="D109" s="35" t="s">
        <v>422</v>
      </c>
      <c r="E109" s="37" t="s">
        <v>423</v>
      </c>
      <c r="F109" s="37" t="s">
        <v>424</v>
      </c>
      <c r="G109" s="137" t="s">
        <v>86</v>
      </c>
      <c r="H109" s="137" t="s">
        <v>20</v>
      </c>
    </row>
    <row r="110" spans="1:8" ht="15.75">
      <c r="A110" s="34" t="s">
        <v>411</v>
      </c>
      <c r="B110" s="35" t="s">
        <v>412</v>
      </c>
      <c r="C110" s="35" t="s">
        <v>425</v>
      </c>
      <c r="D110" s="35" t="s">
        <v>426</v>
      </c>
      <c r="E110" s="35" t="s">
        <v>427</v>
      </c>
      <c r="F110" s="37" t="s">
        <v>428</v>
      </c>
      <c r="G110" s="137" t="s">
        <v>86</v>
      </c>
      <c r="H110" s="137" t="s">
        <v>20</v>
      </c>
    </row>
    <row r="111" spans="1:8" ht="15.75">
      <c r="A111" s="34" t="s">
        <v>411</v>
      </c>
      <c r="B111" s="35" t="s">
        <v>412</v>
      </c>
      <c r="C111" s="35" t="s">
        <v>429</v>
      </c>
      <c r="D111" s="35" t="s">
        <v>430</v>
      </c>
      <c r="E111" s="35" t="s">
        <v>431</v>
      </c>
      <c r="F111" s="37" t="s">
        <v>432</v>
      </c>
      <c r="G111" s="137" t="s">
        <v>86</v>
      </c>
      <c r="H111" s="137" t="s">
        <v>20</v>
      </c>
    </row>
    <row r="112" spans="1:8" ht="15.75">
      <c r="A112" s="34" t="s">
        <v>433</v>
      </c>
      <c r="B112" s="35" t="s">
        <v>434</v>
      </c>
      <c r="C112" s="35" t="s">
        <v>435</v>
      </c>
      <c r="D112" s="35" t="s">
        <v>436</v>
      </c>
      <c r="E112" s="38" t="s">
        <v>437</v>
      </c>
      <c r="F112" s="37" t="s">
        <v>438</v>
      </c>
      <c r="G112" s="137" t="s">
        <v>86</v>
      </c>
      <c r="H112" s="137" t="s">
        <v>20</v>
      </c>
    </row>
    <row r="113" spans="1:8" ht="15.75">
      <c r="A113" s="34" t="s">
        <v>433</v>
      </c>
      <c r="B113" s="35" t="s">
        <v>434</v>
      </c>
      <c r="C113" s="35" t="s">
        <v>439</v>
      </c>
      <c r="D113" s="35" t="s">
        <v>440</v>
      </c>
      <c r="E113" s="38" t="s">
        <v>441</v>
      </c>
      <c r="F113" s="37" t="s">
        <v>442</v>
      </c>
      <c r="G113" s="137" t="s">
        <v>86</v>
      </c>
      <c r="H113" s="137" t="s">
        <v>20</v>
      </c>
    </row>
    <row r="114" spans="1:8" ht="15.75">
      <c r="A114" s="34" t="s">
        <v>433</v>
      </c>
      <c r="B114" s="35" t="s">
        <v>434</v>
      </c>
      <c r="C114" s="35" t="s">
        <v>443</v>
      </c>
      <c r="D114" s="35" t="s">
        <v>444</v>
      </c>
      <c r="E114" s="35" t="s">
        <v>445</v>
      </c>
      <c r="F114" s="37" t="s">
        <v>446</v>
      </c>
      <c r="G114" s="137" t="s">
        <v>86</v>
      </c>
      <c r="H114" s="137" t="s">
        <v>20</v>
      </c>
    </row>
    <row r="115" spans="1:8" ht="15.75">
      <c r="A115" s="34" t="s">
        <v>433</v>
      </c>
      <c r="B115" s="35" t="s">
        <v>434</v>
      </c>
      <c r="C115" s="35" t="s">
        <v>447</v>
      </c>
      <c r="D115" s="35" t="s">
        <v>448</v>
      </c>
      <c r="E115" s="35" t="s">
        <v>449</v>
      </c>
      <c r="F115" s="37" t="s">
        <v>450</v>
      </c>
      <c r="G115" s="137" t="s">
        <v>86</v>
      </c>
      <c r="H115" s="137" t="s">
        <v>20</v>
      </c>
    </row>
    <row r="116" spans="1:8" ht="15.75">
      <c r="A116" s="39" t="s">
        <v>433</v>
      </c>
      <c r="B116" s="40" t="s">
        <v>434</v>
      </c>
      <c r="C116" s="40" t="s">
        <v>451</v>
      </c>
      <c r="D116" s="40" t="s">
        <v>452</v>
      </c>
      <c r="E116" s="40" t="s">
        <v>453</v>
      </c>
      <c r="F116" s="132" t="s">
        <v>454</v>
      </c>
      <c r="G116" s="137" t="s">
        <v>86</v>
      </c>
      <c r="H116" s="137" t="s">
        <v>20</v>
      </c>
    </row>
  </sheetData>
  <dataValidations count="1">
    <dataValidation type="list" allowBlank="1" showInputMessage="1" showErrorMessage="1" sqref="A2:A202" xr:uid="{EEA5B2B6-1E38-4DEC-ADFF-6CAFFF71A65E}">
      <formula1>Type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A4496-8252-4D74-AB3D-6470FEE3404B}">
  <sheetPr codeName="Sheet8"/>
  <dimension ref="A1:U27"/>
  <sheetViews>
    <sheetView workbookViewId="0">
      <selection activeCell="H12" sqref="H12"/>
    </sheetView>
  </sheetViews>
  <sheetFormatPr defaultColWidth="40.42578125" defaultRowHeight="15"/>
  <cols>
    <col min="1" max="1" width="8.7109375" style="3" bestFit="1" customWidth="1"/>
    <col min="2" max="2" width="14.7109375" style="3" bestFit="1" customWidth="1"/>
    <col min="3" max="3" width="23.5703125" style="3" bestFit="1" customWidth="1"/>
    <col min="4" max="4" width="30.140625" style="3" bestFit="1" customWidth="1"/>
    <col min="5" max="5" width="22.85546875" style="3" bestFit="1" customWidth="1"/>
    <col min="6" max="6" width="28.85546875" style="3" customWidth="1"/>
    <col min="7" max="7" width="22.140625" style="3" bestFit="1" customWidth="1"/>
    <col min="8" max="8" width="27" style="3" bestFit="1" customWidth="1"/>
    <col min="9" max="9" width="20.85546875" style="3" customWidth="1"/>
    <col min="10" max="10" width="22" style="3" customWidth="1"/>
    <col min="11" max="11" width="20" style="3" bestFit="1" customWidth="1"/>
    <col min="12" max="12" width="13.5703125" style="3" bestFit="1" customWidth="1"/>
    <col min="13" max="13" width="18.85546875" style="3" bestFit="1" customWidth="1"/>
    <col min="14" max="21" width="13.5703125" style="3" bestFit="1" customWidth="1"/>
    <col min="22" max="16384" width="40.42578125" style="3"/>
  </cols>
  <sheetData>
    <row r="1" spans="1:21" s="2" customFormat="1" ht="22.5" thickTop="1" thickBot="1">
      <c r="A1" s="1" t="s">
        <v>55</v>
      </c>
      <c r="B1" s="1" t="s">
        <v>455</v>
      </c>
      <c r="C1" s="1" t="s">
        <v>456</v>
      </c>
      <c r="D1" s="1" t="s">
        <v>457</v>
      </c>
      <c r="E1" s="1" t="s">
        <v>458</v>
      </c>
      <c r="F1" s="1" t="s">
        <v>459</v>
      </c>
      <c r="G1" s="1" t="s">
        <v>460</v>
      </c>
      <c r="H1" s="1" t="s">
        <v>461</v>
      </c>
      <c r="I1" s="1" t="s">
        <v>462</v>
      </c>
      <c r="J1" s="1" t="s">
        <v>463</v>
      </c>
      <c r="K1" s="1" t="s">
        <v>464</v>
      </c>
      <c r="L1" s="1" t="s">
        <v>465</v>
      </c>
      <c r="M1" s="1" t="s">
        <v>466</v>
      </c>
      <c r="N1" s="1" t="s">
        <v>467</v>
      </c>
      <c r="O1" s="1" t="s">
        <v>468</v>
      </c>
      <c r="P1" s="1" t="s">
        <v>469</v>
      </c>
      <c r="Q1" s="1" t="s">
        <v>470</v>
      </c>
      <c r="R1" s="1" t="s">
        <v>471</v>
      </c>
      <c r="S1" s="1" t="s">
        <v>472</v>
      </c>
      <c r="T1" s="1" t="s">
        <v>473</v>
      </c>
      <c r="U1" s="1" t="s">
        <v>474</v>
      </c>
    </row>
    <row r="2" spans="1:21" s="10" customFormat="1" ht="26.25" customHeight="1" thickTop="1" thickBot="1">
      <c r="A2" s="8" t="s">
        <v>77</v>
      </c>
      <c r="B2" s="9" t="s">
        <v>8</v>
      </c>
      <c r="C2" s="9" t="s">
        <v>6</v>
      </c>
      <c r="D2" s="9" t="s">
        <v>12</v>
      </c>
      <c r="E2" s="9" t="s">
        <v>8</v>
      </c>
      <c r="F2" s="9" t="s">
        <v>42</v>
      </c>
      <c r="G2" s="9" t="s">
        <v>475</v>
      </c>
      <c r="H2" s="9" t="s">
        <v>21</v>
      </c>
      <c r="I2" s="9" t="s">
        <v>462</v>
      </c>
      <c r="J2" s="9" t="s">
        <v>463</v>
      </c>
      <c r="K2" s="9" t="s">
        <v>464</v>
      </c>
      <c r="L2" s="9" t="s">
        <v>465</v>
      </c>
      <c r="M2" s="9" t="s">
        <v>466</v>
      </c>
      <c r="N2" s="9" t="s">
        <v>467</v>
      </c>
      <c r="O2" s="9" t="s">
        <v>468</v>
      </c>
      <c r="P2" s="9" t="s">
        <v>469</v>
      </c>
      <c r="Q2" s="9" t="s">
        <v>470</v>
      </c>
      <c r="R2" s="9" t="s">
        <v>471</v>
      </c>
      <c r="S2" s="9" t="s">
        <v>472</v>
      </c>
      <c r="T2" s="9" t="s">
        <v>473</v>
      </c>
      <c r="U2" s="9" t="s">
        <v>474</v>
      </c>
    </row>
    <row r="3" spans="1:21" ht="16.5" thickTop="1">
      <c r="A3" s="158" t="s">
        <v>476</v>
      </c>
      <c r="B3" s="41" t="s">
        <v>91</v>
      </c>
      <c r="C3" s="41" t="s">
        <v>15</v>
      </c>
      <c r="D3" s="42" t="s">
        <v>20</v>
      </c>
      <c r="E3" s="43" t="s">
        <v>50</v>
      </c>
      <c r="F3" s="54" t="s">
        <v>26</v>
      </c>
      <c r="G3" s="59" t="s">
        <v>477</v>
      </c>
      <c r="H3" s="59" t="s">
        <v>25</v>
      </c>
      <c r="I3" s="59" t="s">
        <v>462</v>
      </c>
      <c r="J3" s="59" t="s">
        <v>463</v>
      </c>
      <c r="K3" s="59" t="s">
        <v>464</v>
      </c>
      <c r="L3" s="42" t="s">
        <v>465</v>
      </c>
      <c r="M3" s="42" t="s">
        <v>466</v>
      </c>
      <c r="N3" s="42" t="s">
        <v>467</v>
      </c>
      <c r="O3" s="42" t="s">
        <v>468</v>
      </c>
      <c r="P3" s="42" t="s">
        <v>469</v>
      </c>
      <c r="Q3" s="42" t="s">
        <v>470</v>
      </c>
      <c r="R3" s="42" t="s">
        <v>471</v>
      </c>
      <c r="S3" s="42" t="s">
        <v>472</v>
      </c>
      <c r="T3" s="42" t="s">
        <v>473</v>
      </c>
      <c r="U3" s="42" t="s">
        <v>474</v>
      </c>
    </row>
    <row r="4" spans="1:21" ht="15.75">
      <c r="A4" s="158"/>
      <c r="B4" s="44" t="s">
        <v>17</v>
      </c>
      <c r="C4" s="58" t="s">
        <v>478</v>
      </c>
      <c r="D4" s="46" t="s">
        <v>131</v>
      </c>
      <c r="E4" s="47" t="s">
        <v>479</v>
      </c>
      <c r="F4" s="55" t="s">
        <v>28</v>
      </c>
      <c r="G4" s="50" t="s">
        <v>75</v>
      </c>
      <c r="H4" s="48" t="s">
        <v>27</v>
      </c>
      <c r="I4" s="48"/>
      <c r="J4" s="48"/>
      <c r="K4" s="49"/>
      <c r="L4" s="49"/>
      <c r="M4" s="49"/>
      <c r="N4" s="49"/>
      <c r="O4" s="46"/>
      <c r="P4" s="49"/>
      <c r="Q4" s="49"/>
      <c r="R4" s="49"/>
      <c r="S4" s="49"/>
      <c r="T4" s="49"/>
      <c r="U4" s="49"/>
    </row>
    <row r="5" spans="1:21" ht="15.75">
      <c r="A5" s="158"/>
      <c r="B5" s="44" t="s">
        <v>86</v>
      </c>
      <c r="C5" s="45"/>
      <c r="D5" s="46"/>
      <c r="E5" s="47"/>
      <c r="F5" s="55" t="s">
        <v>30</v>
      </c>
      <c r="G5" s="50"/>
      <c r="H5" s="48" t="s">
        <v>29</v>
      </c>
      <c r="I5" s="50"/>
      <c r="J5" s="48"/>
      <c r="K5" s="49"/>
      <c r="L5" s="49"/>
      <c r="M5" s="49"/>
      <c r="N5" s="49"/>
      <c r="O5" s="46"/>
      <c r="P5" s="49"/>
      <c r="Q5" s="49"/>
      <c r="R5" s="49"/>
      <c r="S5" s="49"/>
      <c r="T5" s="49"/>
      <c r="U5" s="49"/>
    </row>
    <row r="6" spans="1:21" ht="15.75">
      <c r="A6" s="158"/>
      <c r="B6" s="44"/>
      <c r="C6" s="45"/>
      <c r="D6" s="46"/>
      <c r="E6" s="47"/>
      <c r="F6" s="55" t="s">
        <v>32</v>
      </c>
      <c r="G6" s="50"/>
      <c r="H6" s="48" t="s">
        <v>31</v>
      </c>
      <c r="I6" s="50"/>
      <c r="J6" s="48"/>
      <c r="K6" s="49"/>
      <c r="L6" s="49"/>
      <c r="M6" s="49"/>
      <c r="N6" s="49"/>
      <c r="O6" s="46"/>
      <c r="P6" s="49"/>
      <c r="Q6" s="49"/>
      <c r="R6" s="49"/>
      <c r="S6" s="49"/>
      <c r="T6" s="49"/>
      <c r="U6" s="49"/>
    </row>
    <row r="7" spans="1:21" ht="15.75">
      <c r="A7" s="158"/>
      <c r="B7" s="44"/>
      <c r="C7" s="45"/>
      <c r="D7" s="46"/>
      <c r="E7" s="47"/>
      <c r="F7" s="55" t="s">
        <v>34</v>
      </c>
      <c r="G7" s="50"/>
      <c r="H7" s="48" t="s">
        <v>33</v>
      </c>
      <c r="I7" s="50"/>
      <c r="J7" s="48"/>
      <c r="K7" s="49"/>
      <c r="L7" s="49"/>
      <c r="M7" s="49"/>
      <c r="N7" s="49"/>
      <c r="O7" s="46"/>
      <c r="P7" s="49"/>
      <c r="Q7" s="49"/>
      <c r="R7" s="49"/>
      <c r="S7" s="49"/>
      <c r="T7" s="49"/>
      <c r="U7" s="49"/>
    </row>
    <row r="8" spans="1:21" ht="15.75">
      <c r="A8" s="158"/>
      <c r="B8" s="45"/>
      <c r="C8" s="45"/>
      <c r="D8" s="45"/>
      <c r="E8" s="49"/>
      <c r="F8" s="45"/>
      <c r="G8" s="45"/>
      <c r="H8" s="138" t="s">
        <v>35</v>
      </c>
      <c r="I8" s="50"/>
      <c r="J8" s="48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</row>
    <row r="9" spans="1:21" ht="15.75">
      <c r="A9" s="158"/>
      <c r="B9" s="45"/>
      <c r="C9" s="45"/>
      <c r="D9" s="45"/>
      <c r="E9" s="49"/>
      <c r="F9" s="45"/>
      <c r="G9" s="45"/>
      <c r="H9" s="45" t="s">
        <v>37</v>
      </c>
      <c r="I9" s="50"/>
      <c r="J9" s="48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1" ht="15.75">
      <c r="A10" s="158"/>
      <c r="B10" s="45"/>
      <c r="C10" s="45"/>
      <c r="D10" s="45"/>
      <c r="E10" s="49"/>
      <c r="F10" s="45"/>
      <c r="G10" s="45"/>
      <c r="H10" s="49"/>
      <c r="I10" s="50"/>
      <c r="J10" s="48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</row>
    <row r="11" spans="1:21" ht="15.75">
      <c r="A11" s="158"/>
      <c r="B11" s="45"/>
      <c r="C11" s="45"/>
      <c r="D11" s="45"/>
      <c r="E11" s="49"/>
      <c r="F11" s="45"/>
      <c r="G11" s="49"/>
      <c r="H11" s="46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</row>
    <row r="12" spans="1:21" ht="15.75">
      <c r="A12" s="158"/>
      <c r="B12" s="45"/>
      <c r="C12" s="45"/>
      <c r="D12" s="45"/>
      <c r="E12" s="49"/>
      <c r="F12" s="45"/>
      <c r="G12" s="49"/>
      <c r="H12" s="46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1" ht="15.75">
      <c r="A13" s="158"/>
      <c r="B13" s="45"/>
      <c r="C13" s="45"/>
      <c r="D13" s="45"/>
      <c r="E13" s="49"/>
      <c r="F13" s="45"/>
      <c r="G13" s="49"/>
      <c r="H13" s="46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</row>
    <row r="14" spans="1:21" ht="15.75">
      <c r="A14" s="158"/>
      <c r="B14" s="45"/>
      <c r="C14" s="45"/>
      <c r="D14" s="45"/>
      <c r="E14" s="49"/>
      <c r="F14" s="45"/>
      <c r="G14" s="49"/>
      <c r="H14" s="46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</row>
    <row r="15" spans="1:21" ht="15.75">
      <c r="A15" s="158"/>
      <c r="B15" s="45"/>
      <c r="C15" s="45"/>
      <c r="D15" s="45"/>
      <c r="E15" s="49"/>
      <c r="F15" s="45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1" ht="15.75">
      <c r="A16" s="158"/>
      <c r="B16" s="45"/>
      <c r="C16" s="45"/>
      <c r="D16" s="45"/>
      <c r="E16" s="49"/>
      <c r="F16" s="45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1:21" ht="15.75">
      <c r="A17" s="158"/>
      <c r="B17" s="45"/>
      <c r="C17" s="45"/>
      <c r="D17" s="51"/>
      <c r="E17" s="49"/>
      <c r="F17" s="45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 ht="15.75">
      <c r="A18" s="158"/>
      <c r="B18" s="45"/>
      <c r="C18" s="45"/>
      <c r="D18" s="45"/>
      <c r="E18" s="49"/>
      <c r="F18" s="45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ht="15.75">
      <c r="A19" s="158"/>
      <c r="B19" s="45"/>
      <c r="C19" s="45"/>
      <c r="D19" s="45"/>
      <c r="E19" s="49"/>
      <c r="F19" s="45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</row>
    <row r="20" spans="1:21" ht="15.75">
      <c r="A20" s="158"/>
      <c r="B20" s="45"/>
      <c r="C20" s="45"/>
      <c r="D20" s="51"/>
      <c r="E20" s="49"/>
      <c r="F20" s="45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</row>
    <row r="21" spans="1:21" ht="15.75">
      <c r="A21" s="158"/>
      <c r="B21" s="45"/>
      <c r="C21" s="45"/>
      <c r="D21" s="45"/>
      <c r="E21" s="49"/>
      <c r="F21" s="45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</row>
    <row r="22" spans="1:21" ht="16.5" thickBot="1">
      <c r="A22" s="159"/>
      <c r="B22" s="52"/>
      <c r="C22" s="52"/>
      <c r="D22" s="45"/>
      <c r="E22" s="53"/>
      <c r="F22" s="52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</row>
    <row r="23" spans="1:21" ht="24.75" thickTop="1" thickBot="1">
      <c r="A23" s="4" t="s">
        <v>480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7"/>
    </row>
    <row r="24" spans="1:21" ht="15.75" thickTop="1"/>
    <row r="25" spans="1:21" ht="23.25">
      <c r="A25" s="134" t="s">
        <v>481</v>
      </c>
      <c r="B25" s="135"/>
      <c r="C25" s="135"/>
    </row>
    <row r="26" spans="1:21" ht="23.25">
      <c r="A26" s="136" t="s">
        <v>482</v>
      </c>
      <c r="B26" s="135"/>
      <c r="C26" s="135"/>
    </row>
    <row r="27" spans="1:21" ht="23.25">
      <c r="A27" s="136" t="s">
        <v>483</v>
      </c>
    </row>
  </sheetData>
  <mergeCells count="1">
    <mergeCell ref="A3:A22"/>
  </mergeCells>
  <phoneticPr fontId="8" type="noConversion"/>
  <conditionalFormatting sqref="F3:F7">
    <cfRule type="expression" dxfId="7" priority="3" stopIfTrue="1">
      <formula>F3="1-Critical"=TRUE</formula>
    </cfRule>
    <cfRule type="expression" dxfId="6" priority="4" stopIfTrue="1">
      <formula>F3="2-High"=TRUE</formula>
    </cfRule>
    <cfRule type="expression" dxfId="5" priority="5" stopIfTrue="1">
      <formula>F3="3-Medium"=TRUE</formula>
    </cfRule>
    <cfRule type="expression" dxfId="4" priority="6" stopIfTrue="1">
      <formula>F3="4-Low"=TRUE</formula>
    </cfRule>
    <cfRule type="expression" dxfId="3" priority="7" stopIfTrue="1">
      <formula>F3="5-Info"=TRUE</formula>
    </cfRule>
    <cfRule type="expression" dxfId="2" priority="8" stopIfTrue="1">
      <formula>F3="6-Good"=TRUE</formula>
    </cfRule>
  </conditionalFormatting>
  <conditionalFormatting sqref="F3:F7">
    <cfRule type="expression" dxfId="1" priority="2" stopIfTrue="1">
      <formula>F3="No Further Action"=TRUE</formula>
    </cfRule>
  </conditionalFormatting>
  <conditionalFormatting sqref="F3:F7">
    <cfRule type="expression" dxfId="0" priority="1" stopIfTrue="1">
      <formula>E3="No Further Action"=TRUE</formula>
    </cfRule>
  </conditionalFormatting>
  <dataValidations count="20">
    <dataValidation type="list" allowBlank="1" showInputMessage="1" showErrorMessage="1" sqref="U23" xr:uid="{C37B77DA-F4D6-4DE6-887A-8265BA49EA2C}">
      <formula1>Lookup20</formula1>
    </dataValidation>
    <dataValidation type="list" allowBlank="1" showInputMessage="1" showErrorMessage="1" sqref="T23" xr:uid="{C9CF0FB7-9626-4525-BFD5-CB0469AB7B92}">
      <formula1>Lookup19</formula1>
    </dataValidation>
    <dataValidation type="list" allowBlank="1" showInputMessage="1" showErrorMessage="1" sqref="S23" xr:uid="{1629D6E0-CD44-4024-9CF5-E02A53B9EB3A}">
      <formula1>Lookup18</formula1>
    </dataValidation>
    <dataValidation type="list" allowBlank="1" showInputMessage="1" showErrorMessage="1" sqref="R23" xr:uid="{BCDCCC18-5F26-402D-8193-A0F13ED980DC}">
      <formula1>Lookup17</formula1>
    </dataValidation>
    <dataValidation type="list" allowBlank="1" showInputMessage="1" showErrorMessage="1" sqref="Q23" xr:uid="{13F928F7-3107-483F-95A2-A80FDEB1C896}">
      <formula1>Lookup16</formula1>
    </dataValidation>
    <dataValidation type="list" allowBlank="1" showInputMessage="1" showErrorMessage="1" sqref="P23" xr:uid="{08F1E0FC-B386-4C65-98D8-1072EEFEC3DF}">
      <formula1>Lookup15</formula1>
    </dataValidation>
    <dataValidation type="list" allowBlank="1" showInputMessage="1" showErrorMessage="1" sqref="O23" xr:uid="{C8C438C9-0248-46DC-97ED-6DEB99EDAA7E}">
      <formula1>Lookup14</formula1>
    </dataValidation>
    <dataValidation type="list" allowBlank="1" showInputMessage="1" showErrorMessage="1" sqref="N23" xr:uid="{8E9C5A0A-4FE2-471A-94FA-21827C222EF7}">
      <formula1>Lookup13</formula1>
    </dataValidation>
    <dataValidation type="list" allowBlank="1" showInputMessage="1" showErrorMessage="1" sqref="M23" xr:uid="{B878CA06-F68D-4DCE-9F89-7831AE31A71B}">
      <formula1>Lookup12</formula1>
    </dataValidation>
    <dataValidation type="list" allowBlank="1" showInputMessage="1" showErrorMessage="1" sqref="L23" xr:uid="{FFA5E267-CB02-49B9-8D88-FF32967DAABC}">
      <formula1>Lookup11</formula1>
    </dataValidation>
    <dataValidation type="list" allowBlank="1" showInputMessage="1" showErrorMessage="1" sqref="K23" xr:uid="{02926A96-D0B9-4EC1-B02D-76BF844D20F9}">
      <formula1>Lookup10</formula1>
    </dataValidation>
    <dataValidation type="list" allowBlank="1" showInputMessage="1" showErrorMessage="1" sqref="J23" xr:uid="{F737254A-1EEA-4ED6-9D77-78CACA9FF259}">
      <formula1>Lookup9</formula1>
    </dataValidation>
    <dataValidation type="list" allowBlank="1" showInputMessage="1" showErrorMessage="1" sqref="I23" xr:uid="{4BDE2ED9-E7EC-4134-806B-AD9C7B11E308}">
      <formula1>Lookup8</formula1>
    </dataValidation>
    <dataValidation type="list" allowBlank="1" showInputMessage="1" showErrorMessage="1" sqref="H23" xr:uid="{37937831-D4B1-4449-BF6A-9CAB175F935E}">
      <formula1>Lookup7</formula1>
    </dataValidation>
    <dataValidation type="list" allowBlank="1" showInputMessage="1" showErrorMessage="1" sqref="G23" xr:uid="{51C2AD51-DA0D-4A5C-90FC-EECAFDE75EDA}">
      <formula1>Lookup6</formula1>
    </dataValidation>
    <dataValidation type="list" allowBlank="1" showInputMessage="1" showErrorMessage="1" sqref="F23" xr:uid="{EC2B0DFC-C325-458D-BFCA-05508D889AD4}">
      <formula1>Lookup5</formula1>
    </dataValidation>
    <dataValidation type="list" allowBlank="1" showInputMessage="1" showErrorMessage="1" sqref="E23" xr:uid="{393A8234-C807-4AE6-89E8-EC3528981603}">
      <formula1>Lookup4</formula1>
    </dataValidation>
    <dataValidation type="list" allowBlank="1" showInputMessage="1" showErrorMessage="1" sqref="D23 F3:F7" xr:uid="{3D9C69BE-49AF-42F4-B3A8-8815472F1D37}">
      <formula1>Lookup3</formula1>
    </dataValidation>
    <dataValidation type="list" allowBlank="1" showInputMessage="1" showErrorMessage="1" sqref="C23" xr:uid="{4DE5D507-1786-4320-B792-B9795C03C957}">
      <formula1>Lookup2</formula1>
    </dataValidation>
    <dataValidation type="list" allowBlank="1" showInputMessage="1" showErrorMessage="1" sqref="B23" xr:uid="{3C0EDC78-8503-42B4-A1D0-FABDB0D5734E}">
      <formula1>Lookup1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6EADB7FADBDD46A137E2529A6AB338" ma:contentTypeVersion="19" ma:contentTypeDescription="Create a new document." ma:contentTypeScope="" ma:versionID="e8b19eb315b7dfecefc5d70e384659ad">
  <xsd:schema xmlns:xsd="http://www.w3.org/2001/XMLSchema" xmlns:xs="http://www.w3.org/2001/XMLSchema" xmlns:p="http://schemas.microsoft.com/office/2006/metadata/properties" xmlns:ns1="http://schemas.microsoft.com/sharepoint/v3" xmlns:ns2="87480d1a-c80c-477c-9f53-d14d87a45f08" xmlns:ns3="beb00d12-24e9-4294-9648-655a57296783" targetNamespace="http://schemas.microsoft.com/office/2006/metadata/properties" ma:root="true" ma:fieldsID="d446c679f79e6d7ce6739c706be183f1" ns1:_="" ns2:_="" ns3:_="">
    <xsd:import namespace="http://schemas.microsoft.com/sharepoint/v3"/>
    <xsd:import namespace="87480d1a-c80c-477c-9f53-d14d87a45f08"/>
    <xsd:import namespace="beb00d12-24e9-4294-9648-655a57296783"/>
    <xsd:element name="properties">
      <xsd:complexType>
        <xsd:sequence>
          <xsd:element name="documentManagement">
            <xsd:complexType>
              <xsd:all>
                <xsd:element ref="ns2:Owner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_Flow_SignoffStatus" minOccurs="0"/>
                <xsd:element ref="ns1:_ip_UnifiedCompliancePolicyProperties" minOccurs="0"/>
                <xsd:element ref="ns1:_ip_UnifiedCompliancePolicyUIAction" minOccurs="0"/>
                <xsd:element ref="ns2:ueu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480d1a-c80c-477c-9f53-d14d87a45f08" elementFormDefault="qualified">
    <xsd:import namespace="http://schemas.microsoft.com/office/2006/documentManagement/types"/>
    <xsd:import namespace="http://schemas.microsoft.com/office/infopath/2007/PartnerControls"/>
    <xsd:element name="Owner" ma:index="8" ma:displayName="Owner" ma:description="Designated Owner of the Folder" ma:list="UserInfo" ma:SearchPeopleOnly="false" ma:SharePointGroup="0" ma:internalName="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ueuy" ma:index="24" nillable="true" ma:displayName="Text" ma:internalName="ueu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b00d12-24e9-4294-9648-655a5729678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ueuy xmlns="87480d1a-c80c-477c-9f53-d14d87a45f08" xsi:nil="true"/>
    <Owner xmlns="87480d1a-c80c-477c-9f53-d14d87a45f08">
      <UserInfo>
        <DisplayName>Andrew Newman</DisplayName>
        <AccountId>16</AccountId>
        <AccountType/>
      </UserInfo>
    </Owner>
    <_ip_UnifiedCompliancePolicyProperties xmlns="http://schemas.microsoft.com/sharepoint/v3" xsi:nil="true"/>
    <_Flow_SignoffStatus xmlns="87480d1a-c80c-477c-9f53-d14d87a45f08" xsi:nil="true"/>
  </documentManagement>
</p:properties>
</file>

<file path=customXml/itemProps1.xml><?xml version="1.0" encoding="utf-8"?>
<ds:datastoreItem xmlns:ds="http://schemas.openxmlformats.org/officeDocument/2006/customXml" ds:itemID="{C62DCEFB-227C-4A93-9AA7-96D0EB6556B5}"/>
</file>

<file path=customXml/itemProps2.xml><?xml version="1.0" encoding="utf-8"?>
<ds:datastoreItem xmlns:ds="http://schemas.openxmlformats.org/officeDocument/2006/customXml" ds:itemID="{AF83DD5B-1892-43C2-BD95-4A6BBA4B8E46}"/>
</file>

<file path=customXml/itemProps3.xml><?xml version="1.0" encoding="utf-8"?>
<ds:datastoreItem xmlns:ds="http://schemas.openxmlformats.org/officeDocument/2006/customXml" ds:itemID="{CC54B012-FF08-4880-9081-E5060432A1A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Carlin</dc:creator>
  <cp:keywords/>
  <dc:description/>
  <cp:lastModifiedBy>Neil Hardy</cp:lastModifiedBy>
  <cp:revision/>
  <dcterms:created xsi:type="dcterms:W3CDTF">2020-09-02T08:50:13Z</dcterms:created>
  <dcterms:modified xsi:type="dcterms:W3CDTF">2020-10-22T14:55:57Z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486c49af-ac1a-4053-b229-e8a3ec963279</vt:lpwstr>
  </property>
  <property fmtid="{D5CDD505-2E9C-101B-9397-08002B2CF9AE}" pid="3" name="ContentTypeId">
    <vt:lpwstr>0x010100CE6EADB7FADBDD46A137E2529A6AB338</vt:lpwstr>
  </property>
</Properties>
</file>